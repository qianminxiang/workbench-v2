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进度总控" sheetId="1" r:id="rId3"/>
    <sheet name="年度KPI总览" sheetId="2" r:id="rId4"/>
    <sheet name="政府关系建立" sheetId="3" r:id="rId5"/>
    <sheet name="行业资源开发" sheetId="4" r:id="rId6"/>
    <sheet name="媒体品牌传播" sheetId="5" r:id="rId7"/>
    <sheet name="活动执行管理" sheetId="6" r:id="rId8"/>
    <sheet name="客户线索转化" sheetId="7" r:id="rId9"/>
    <sheet name="政策项目申报" sheetId="8" r:id="rId10"/>
  </sheets>
  <definedNames>
    <definedName name="_xlnm._FilterDatabase" localSheetId="7" hidden="1">政策项目申报!$A$1:$Q$9</definedName>
    <definedName name="_xlnm._FilterDatabase" localSheetId="6">客户线索转化!$A$1:$S$11</definedName>
    <definedName name="_xlnm._FilterDatabase" localSheetId="5" hidden="1">活动执行管理!$A$1:$T$11</definedName>
    <definedName name="_xlnm._FilterDatabase" localSheetId="2" hidden="1">政府关系建立!$A$1:$S$13</definedName>
    <definedName name="_xlnm._FilterDatabase" localSheetId="4" hidden="1">媒体品牌传播!$A$1:$P$15</definedName>
    <definedName name="_xlnm._FilterDatabase" localSheetId="3" hidden="1">行业资源开发!$A$1:$P$12</definedName>
  </definedNames>
  <calcPr/>
</workbook>
</file>

<file path=xl/sharedStrings.xml><?xml version="1.0" encoding="utf-8"?>
<sst xmlns="http://schemas.openxmlformats.org/spreadsheetml/2006/main" count="359" uniqueCount="359">
  <si>
    <t/>
  </si>
  <si>
    <t>序号</t>
  </si>
  <si>
    <t>类别</t>
  </si>
  <si>
    <t>单位名称</t>
  </si>
  <si>
    <t>关键联系人</t>
  </si>
  <si>
    <t>职务</t>
  </si>
  <si>
    <t>联系方式</t>
  </si>
  <si>
    <t>优先级</t>
  </si>
  <si>
    <t>合作方向</t>
  </si>
  <si>
    <t>计划开启时间</t>
  </si>
  <si>
    <t>闭环时间</t>
  </si>
  <si>
    <t>累计联系次数</t>
  </si>
  <si>
    <t>当前进度%</t>
  </si>
  <si>
    <t>状态</t>
  </si>
  <si>
    <t>批次进度描述</t>
  </si>
  <si>
    <t>下次计划日期</t>
  </si>
  <si>
    <t>备注</t>
  </si>
  <si>
    <t>负责人</t>
  </si>
  <si>
    <t>里程碑阶段</t>
  </si>
  <si>
    <t>下一步动作</t>
  </si>
  <si>
    <t>行业协会</t>
  </si>
  <si>
    <t>安徽省农业机械工业协会</t>
  </si>
  <si>
    <t>A级</t>
  </si>
  <si>
    <t>标准制定、行业论坛、会员资源对接</t>
  </si>
  <si>
    <t>2月</t>
  </si>
  <si>
    <t>8月</t>
  </si>
  <si>
    <t>待启动</t>
  </si>
  <si>
    <t>M1 · 未启动</t>
  </si>
  <si>
    <t>建立联系，对接合作方向</t>
  </si>
  <si>
    <t>安徽省植物保护学会</t>
  </si>
  <si>
    <t>B级</t>
  </si>
  <si>
    <t>植保技术交流、飞防效果评估、专家资源</t>
  </si>
  <si>
    <t>3月</t>
  </si>
  <si>
    <t>9月</t>
  </si>
  <si>
    <t>安徽省农业产业联合会</t>
  </si>
  <si>
    <t>产业资源对接、品牌活动、会员渠道</t>
  </si>
  <si>
    <t>4月</t>
  </si>
  <si>
    <t>10月</t>
  </si>
  <si>
    <t>科研院所</t>
  </si>
  <si>
    <t>安徽农业大学工学院</t>
  </si>
  <si>
    <t>产学研合作、技术示范、联合申报、飞手培训</t>
  </si>
  <si>
    <t>7月</t>
  </si>
  <si>
    <t>安徽农业大学植保学院</t>
  </si>
  <si>
    <t>植保技术研究、作业效果验证、专家顾问</t>
  </si>
  <si>
    <t>安徽省农业科学院</t>
  </si>
  <si>
    <t>植保技术研究、作物方案定制、示范基地</t>
  </si>
  <si>
    <t>中科院合肥物质科学研究院</t>
  </si>
  <si>
    <t>C级</t>
  </si>
  <si>
    <t>智慧农业技术、遥感监测、前沿技术合作</t>
  </si>
  <si>
    <t>6月</t>
  </si>
  <si>
    <t>12月</t>
  </si>
  <si>
    <t>推广机构</t>
  </si>
  <si>
    <t>安徽省农机推广总站</t>
  </si>
  <si>
    <t>技术推广、演示会协办、作业效果评估、补贴推荐</t>
  </si>
  <si>
    <t>安徽省植保总站</t>
  </si>
  <si>
    <t>病虫害防治指导、飞防作业规范、统防统治对接</t>
  </si>
  <si>
    <t>合作社联盟</t>
  </si>
  <si>
    <t>安徽省农民合作社联合会</t>
  </si>
  <si>
    <t>批量采购、飞防服务合作、会员资源、数据采集</t>
  </si>
  <si>
    <t>飞防服务</t>
  </si>
  <si>
    <t>全省专业飞防服务队（核心）</t>
  </si>
  <si>
    <t>设备采购、作业服务、生态合作、数据反馈</t>
  </si>
  <si>
    <t>11月</t>
  </si>
  <si>
    <t>层级</t>
  </si>
  <si>
    <t>对接部门</t>
  </si>
  <si>
    <t>区域</t>
  </si>
  <si>
    <t>沟通深度</t>
  </si>
  <si>
    <t>合作/待办事项</t>
  </si>
  <si>
    <t>省级</t>
  </si>
  <si>
    <t>安徽省农业农村厅</t>
  </si>
  <si>
    <t>农机推广总站</t>
  </si>
  <si>
    <t>合肥</t>
  </si>
  <si>
    <t>初步接触</t>
  </si>
  <si>
    <t>推广计划、飞防作业监管</t>
  </si>
  <si>
    <t>启动首次对接沟通，推进待办事项</t>
  </si>
  <si>
    <t>种植业局</t>
  </si>
  <si>
    <t>病虫害防治、飞防作业指导</t>
  </si>
  <si>
    <t>农机管理处</t>
  </si>
  <si>
    <t>农机监管、飞行规范</t>
  </si>
  <si>
    <t>5月</t>
  </si>
  <si>
    <t>安徽省科技厅</t>
  </si>
  <si>
    <t>农村科技处</t>
  </si>
  <si>
    <t>科技攻关项目、智慧农业示范、产学研合作</t>
  </si>
  <si>
    <t>安徽省发展改革委</t>
  </si>
  <si>
    <t>农村经济处</t>
  </si>
  <si>
    <t>数字乡村、高标准农田、产业政策</t>
  </si>
  <si>
    <t>地市级</t>
  </si>
  <si>
    <t>阜阳市农业农村局</t>
  </si>
  <si>
    <t>农机推广站</t>
  </si>
  <si>
    <t>阜阳</t>
  </si>
  <si>
    <t>皖北小麦飞防推广、演示会、作业补贴</t>
  </si>
  <si>
    <t>亳州市农业农村局</t>
  </si>
  <si>
    <t>亳州</t>
  </si>
  <si>
    <t>皖北小麦飞防推广、作业补贴</t>
  </si>
  <si>
    <t>宿州市农业农村局</t>
  </si>
  <si>
    <t>宿州</t>
  </si>
  <si>
    <t>皖北小麦飞防推广、演示会</t>
  </si>
  <si>
    <t>淮北市农业农村局</t>
  </si>
  <si>
    <t>淮北</t>
  </si>
  <si>
    <t>皖北小麦飞防推广</t>
  </si>
  <si>
    <t>合肥市农业农村局</t>
  </si>
  <si>
    <t>农机处</t>
  </si>
  <si>
    <t>智慧农业示范、省级部门联动</t>
  </si>
  <si>
    <t>滁州市农业农村局</t>
  </si>
  <si>
    <t>滁州</t>
  </si>
  <si>
    <t>江淮水稻区推广</t>
  </si>
  <si>
    <t>淮南市农业农村局</t>
  </si>
  <si>
    <t>淮南</t>
  </si>
  <si>
    <t>江淮水稻区推广、沿淮农业</t>
  </si>
  <si>
    <t>客户名称</t>
  </si>
  <si>
    <t>客户类型</t>
  </si>
  <si>
    <t>联系人</t>
  </si>
  <si>
    <t>来源渠道</t>
  </si>
  <si>
    <t>意向等级</t>
  </si>
  <si>
    <t>闭环时间(预计成交)</t>
  </si>
  <si>
    <t>首次接触日期</t>
  </si>
  <si>
    <t>最近跟进日期</t>
  </si>
  <si>
    <t>跟进次数</t>
  </si>
  <si>
    <t>需求产品</t>
  </si>
  <si>
    <t>意向数量(台)</t>
  </si>
  <si>
    <t>皖北大型合作社（阜阳）</t>
  </si>
  <si>
    <t>合作社</t>
  </si>
  <si>
    <t>演示会</t>
  </si>
  <si>
    <t>高</t>
  </si>
  <si>
    <t>建立联系，确认采购需求</t>
  </si>
  <si>
    <t>皖北大型合作社（亳州）</t>
  </si>
  <si>
    <t>皖北大型合作社（宿州）</t>
  </si>
  <si>
    <t>中</t>
  </si>
  <si>
    <t>皖北种植大户（阜阳）</t>
  </si>
  <si>
    <t>种植大户</t>
  </si>
  <si>
    <t>转介绍</t>
  </si>
  <si>
    <t>皖北种植大户（亳州）</t>
  </si>
  <si>
    <t>农机部门推荐</t>
  </si>
  <si>
    <t>江淮水稻合作社（滁州）</t>
  </si>
  <si>
    <t>观摩会</t>
  </si>
  <si>
    <t>农资企业（皖北）</t>
  </si>
  <si>
    <t>农资企业</t>
  </si>
  <si>
    <t>行业交流</t>
  </si>
  <si>
    <t>整体解决方案合作</t>
  </si>
  <si>
    <t>飞防服务队（皖北）</t>
  </si>
  <si>
    <t>批量采购+作业合作</t>
  </si>
  <si>
    <t>核心经销商（皖北）</t>
  </si>
  <si>
    <t>经销商</t>
  </si>
  <si>
    <t>渠道联动</t>
  </si>
  <si>
    <t>联合推广+售后协同</t>
  </si>
  <si>
    <t>大疆安徽平台公关项目 · 工作进度总控表（可量化·可跟踪）</t>
  </si>
  <si>
    <t>板块</t>
  </si>
  <si>
    <t>工作项</t>
  </si>
  <si>
    <t>类型/层级</t>
  </si>
  <si>
    <t>量化目标</t>
  </si>
  <si>
    <t>计划开启</t>
  </si>
  <si>
    <t>计划闭环</t>
  </si>
  <si>
    <t>阶段状态</t>
  </si>
  <si>
    <t>数据来源</t>
  </si>
  <si>
    <t>▍政府关系（12 项）</t>
  </si>
  <si>
    <t>政府关系</t>
  </si>
  <si>
    <t>M1·未启动</t>
  </si>
  <si>
    <t>政府关系建立</t>
  </si>
  <si>
    <t>小计：12 项 · 已完成 0 项</t>
  </si>
  <si>
    <t>▍行业资源（11 项）</t>
  </si>
  <si>
    <t>行业资源</t>
  </si>
  <si>
    <t>行业资源开发</t>
  </si>
  <si>
    <t>小计：11 项 · 已完成 0 项</t>
  </si>
  <si>
    <t>▍媒体传播（14 项）</t>
  </si>
  <si>
    <t>媒体传播</t>
  </si>
  <si>
    <t>安徽日报</t>
  </si>
  <si>
    <t>省级主流</t>
  </si>
  <si>
    <t>春耕飞防作业纪实、智慧农业案例</t>
  </si>
  <si>
    <t>对接选题，准备稿件/素材</t>
  </si>
  <si>
    <t>媒体品牌传播</t>
  </si>
  <si>
    <t>秋收飞防保障、农业现代化专题</t>
  </si>
  <si>
    <t>安徽卫视</t>
  </si>
  <si>
    <t>飞防作业视频报道、活动现场采访</t>
  </si>
  <si>
    <t>新安晚报</t>
  </si>
  <si>
    <t>本地化民生视角、农户故事</t>
  </si>
  <si>
    <t>中安在线</t>
  </si>
  <si>
    <t>网络专题、短视频、直播</t>
  </si>
  <si>
    <t>农民日报安徽记者站</t>
  </si>
  <si>
    <t>农业行业</t>
  </si>
  <si>
    <t>行业深度报道、政策解读、案例分享</t>
  </si>
  <si>
    <t>秋收专题、智慧农业深度</t>
  </si>
  <si>
    <t>农机360网</t>
  </si>
  <si>
    <t>产品评测、行业分析、展会直播</t>
  </si>
  <si>
    <t>农业机械杂志</t>
  </si>
  <si>
    <t>技术文章、案例深度报道</t>
  </si>
  <si>
    <t>中国农机推广网</t>
  </si>
  <si>
    <t>推广信息、作业数据、政策动态</t>
  </si>
  <si>
    <t>持续</t>
  </si>
  <si>
    <t>阜阳日报</t>
  </si>
  <si>
    <t>地市媒体</t>
  </si>
  <si>
    <t>皖北演示会现场报道</t>
  </si>
  <si>
    <t>亳州晚报</t>
  </si>
  <si>
    <t>宿州广播电视台</t>
  </si>
  <si>
    <t>皖北演示会视频报道</t>
  </si>
  <si>
    <t>抖音/快手农业KOL</t>
  </si>
  <si>
    <t>新媒体</t>
  </si>
  <si>
    <t>飞手故事、作业纪实、产品种草</t>
  </si>
  <si>
    <t>小计：14 项 · 已完成 0 项</t>
  </si>
  <si>
    <t>▍活动执行（10 项）</t>
  </si>
  <si>
    <t>活动执行</t>
  </si>
  <si>
    <t>皖北小麦飞防演示会-阜阳站</t>
  </si>
  <si>
    <t>—</t>
  </si>
  <si>
    <t>签约≥3台，线索≥20条</t>
  </si>
  <si>
    <t>2月15日</t>
  </si>
  <si>
    <t>3月8日</t>
  </si>
  <si>
    <t>未筹备</t>
  </si>
  <si>
    <t>启动活动筹备，锁定场地/资源</t>
  </si>
  <si>
    <t>活动执行管理</t>
  </si>
  <si>
    <t>皖北小麦飞防演示会-亳州站</t>
  </si>
  <si>
    <t>签约≥2台，线索≥15条</t>
  </si>
  <si>
    <t>2月20日</t>
  </si>
  <si>
    <t>3月15日</t>
  </si>
  <si>
    <t>皖北小麦飞防演示会-宿州站</t>
  </si>
  <si>
    <t>2月25日</t>
  </si>
  <si>
    <t>3月22日</t>
  </si>
  <si>
    <t>江淮水稻飞防观摩会-滁州站</t>
  </si>
  <si>
    <t>合作意向≥3家，线索≥20条</t>
  </si>
  <si>
    <t>4月10日</t>
  </si>
  <si>
    <t>5月17日</t>
  </si>
  <si>
    <t>农业行业技术沙龙</t>
  </si>
  <si>
    <t>沙龙</t>
  </si>
  <si>
    <t>行业线索≥5条，报道≥1篇</t>
  </si>
  <si>
    <t>4月20日</t>
  </si>
  <si>
    <t>5月25日</t>
  </si>
  <si>
    <t>水稻飞防演示会-合肥周边</t>
  </si>
  <si>
    <t>线索≥15条，体验≥20人</t>
  </si>
  <si>
    <t>5月10日</t>
  </si>
  <si>
    <t>6月8日</t>
  </si>
  <si>
    <t>飞手培训认证班</t>
  </si>
  <si>
    <t>培训</t>
  </si>
  <si>
    <t>结业≥35人，取证≥30人，转化≥5台</t>
  </si>
  <si>
    <t>6月15日</t>
  </si>
  <si>
    <t>7月18日</t>
  </si>
  <si>
    <t>秋收飞防演示会-皖北站1</t>
  </si>
  <si>
    <t>签约≥3台，案例≥2个</t>
  </si>
  <si>
    <t>10月1日</t>
  </si>
  <si>
    <t>10月10日</t>
  </si>
  <si>
    <t>秋收飞防演示会-皖北站2</t>
  </si>
  <si>
    <t>10月17日</t>
  </si>
  <si>
    <t>年终核心客户答谢会</t>
  </si>
  <si>
    <t>答谢会</t>
  </si>
  <si>
    <t>满意度≥90%，转介绍意向≥5家</t>
  </si>
  <si>
    <t>11月1日</t>
  </si>
  <si>
    <t>12月12日</t>
  </si>
  <si>
    <t>小计：10 项 · 已完成 0 项</t>
  </si>
  <si>
    <t>▍客户转化（9 项）</t>
  </si>
  <si>
    <t>客户转化</t>
  </si>
  <si>
    <t>促成成交</t>
  </si>
  <si>
    <t>客户线索转化</t>
  </si>
  <si>
    <t>小计：9 项 · 已完成 0 项</t>
  </si>
  <si>
    <t>▍政策申报（8 项）</t>
  </si>
  <si>
    <t>政策申报</t>
  </si>
  <si>
    <t>智慧农业技术装备示范项目</t>
  </si>
  <si>
    <t>科技攻关</t>
  </si>
  <si>
    <t>完成申报立项</t>
  </si>
  <si>
    <t>启动材料准备，跟进申报窗口</t>
  </si>
  <si>
    <t>政策项目申报</t>
  </si>
  <si>
    <t>数字乡村建设试点项目</t>
  </si>
  <si>
    <t>示范试点</t>
  </si>
  <si>
    <t>高标准农田建设农机配套</t>
  </si>
  <si>
    <t>工程配套</t>
  </si>
  <si>
    <t>退役军人农机技能培训项目</t>
  </si>
  <si>
    <t>就业培训</t>
  </si>
  <si>
    <t>职业院校无人机植保实训基地</t>
  </si>
  <si>
    <t>校企合作</t>
  </si>
  <si>
    <t>高校毕业生就业见习基地</t>
  </si>
  <si>
    <t>就业见习</t>
  </si>
  <si>
    <t>市级智慧农业示范项目（阜阳）</t>
  </si>
  <si>
    <t>示范项目</t>
  </si>
  <si>
    <t>市级飞防作业补贴（皖北）</t>
  </si>
  <si>
    <t>作业补贴</t>
  </si>
  <si>
    <t>小计：8 项 · 已完成 0 项</t>
  </si>
  <si>
    <t>项目名称</t>
  </si>
  <si>
    <t>申报部门</t>
  </si>
  <si>
    <t>项目类型</t>
  </si>
  <si>
    <t>政策依据</t>
  </si>
  <si>
    <t>闭环时间(申报截止)</t>
  </si>
  <si>
    <t>材料准备进度%</t>
  </si>
  <si>
    <t>提交日期</t>
  </si>
  <si>
    <t>审批状态</t>
  </si>
  <si>
    <t>立项金额(万元)</t>
  </si>
  <si>
    <t>到账金额(万元)</t>
  </si>
  <si>
    <t>省科技厅</t>
  </si>
  <si>
    <t>安徽省科技攻关计划（农业领域）</t>
  </si>
  <si>
    <t>待申报</t>
  </si>
  <si>
    <t>联合科研院所申报</t>
  </si>
  <si>
    <t>省发改委/农业农村厅</t>
  </si>
  <si>
    <t>安徽省数字乡村发展行动计划</t>
  </si>
  <si>
    <t>智慧农业示范基地</t>
  </si>
  <si>
    <t>省农业农村厅</t>
  </si>
  <si>
    <t>安徽省高标准农田建设规划</t>
  </si>
  <si>
    <t>飞防作业配套</t>
  </si>
  <si>
    <t>省退役军人事务厅</t>
  </si>
  <si>
    <t>安徽省退役军人就业创业扶持政策</t>
  </si>
  <si>
    <t>飞手技能培训+就业对接</t>
  </si>
  <si>
    <t>省教育厅/人社厅</t>
  </si>
  <si>
    <t>安徽省职业教育产教融合政策</t>
  </si>
  <si>
    <t>专业共建+实训基地+人才输送</t>
  </si>
  <si>
    <t>省人社厅</t>
  </si>
  <si>
    <t>安徽省高校毕业生就业见习计划</t>
  </si>
  <si>
    <t>见习岗位+补贴+人才储备</t>
  </si>
  <si>
    <t>阜阳市智慧农业发展扶持政策</t>
  </si>
  <si>
    <t>联合当地合作社</t>
  </si>
  <si>
    <t>皖北地市农业农村局</t>
  </si>
  <si>
    <t>各地市植保无人机作业补贴办法</t>
  </si>
  <si>
    <t>阜阳/亳州/宿州</t>
  </si>
  <si>
    <t>媒体名称</t>
  </si>
  <si>
    <t>媒体类型</t>
  </si>
  <si>
    <t>报道选题/方向</t>
  </si>
  <si>
    <t>闭环时间(计划发布)</t>
  </si>
  <si>
    <t>实际发布时间</t>
  </si>
  <si>
    <t>报道链接</t>
  </si>
  <si>
    <t>曝光量/阅读量</t>
  </si>
  <si>
    <t>农交会</t>
  </si>
  <si>
    <t>指标类别</t>
  </si>
  <si>
    <t>具体指标</t>
  </si>
  <si>
    <t>年度目标</t>
  </si>
  <si>
    <t>当前完成(自动统计)</t>
  </si>
  <si>
    <t>完成率</t>
  </si>
  <si>
    <t>已对接政府对象数</t>
  </si>
  <si>
    <t>推进中</t>
  </si>
  <si>
    <t>含省级+地市级</t>
  </si>
  <si>
    <t>政府关系对象总数</t>
  </si>
  <si>
    <t>已完成</t>
  </si>
  <si>
    <t>建档总数</t>
  </si>
  <si>
    <t>已合作行业/科研对象</t>
  </si>
  <si>
    <t>协会+科研+推广</t>
  </si>
  <si>
    <t>已发布报道篇数</t>
  </si>
  <si>
    <t>省级+行业媒体</t>
  </si>
  <si>
    <t>已完成活动场次</t>
  </si>
  <si>
    <t>含培训/沙龙/展会</t>
  </si>
  <si>
    <t>活动总场次</t>
  </si>
  <si>
    <t>全年计划</t>
  </si>
  <si>
    <t>已成交客户数</t>
  </si>
  <si>
    <t>需销售确认</t>
  </si>
  <si>
    <t>客户线索总数</t>
  </si>
  <si>
    <t>政策项目</t>
  </si>
  <si>
    <t>已立项项目数</t>
  </si>
  <si>
    <t>含省级示范≥1个</t>
  </si>
  <si>
    <t>政策项目总数</t>
  </si>
  <si>
    <t>全年申报计划</t>
  </si>
  <si>
    <t>活动名称</t>
  </si>
  <si>
    <t>活动类型</t>
  </si>
  <si>
    <t>销售季</t>
  </si>
  <si>
    <t>计划开启时间(筹备)</t>
  </si>
  <si>
    <t>闭环时间(活动日)</t>
  </si>
  <si>
    <t>地点</t>
  </si>
  <si>
    <t>目标人数</t>
  </si>
  <si>
    <t>执行状态</t>
  </si>
  <si>
    <t>实际费用</t>
  </si>
  <si>
    <t>实际参与人数</t>
  </si>
  <si>
    <t>现场签约(台)</t>
  </si>
  <si>
    <t>收集线索(条)</t>
  </si>
  <si>
    <t>媒体报道(篇)</t>
  </si>
  <si>
    <t>效果评估</t>
  </si>
  <si>
    <t>S2</t>
  </si>
  <si>
    <t>S3</t>
  </si>
  <si>
    <t>S1</t>
  </si>
  <si>
    <t>蚌埠</t>
  </si>
</sst>
</file>

<file path=xl/styles.xml><?xml version="1.0" encoding="utf-8"?>
<styleSheet xmlns="http://schemas.openxmlformats.org/spreadsheetml/2006/main"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0"/>
    </font>
    <font>
      <name val="等线"/>
      <charset val="134"/>
      <color rgb="FF000000"/>
      <sz val="11"/>
    </font>
    <font>
      <name val="微软雅黑"/>
      <charset val="134"/>
      <color rgb="FF000000"/>
      <sz val="9"/>
    </font>
    <font>
      <name val="微软雅黑"/>
      <color rgb="FF000000"/>
      <sz val="9"/>
    </font>
    <font>
      <name val="微软雅黑"/>
      <charset val="134"/>
      <b val="1"/>
      <color rgb="FFFFFFFF"/>
      <sz val="12"/>
    </font>
    <font>
      <name val="微软雅黑"/>
      <charset val="134"/>
      <b val="1"/>
      <color rgb="FF1F4E79"/>
      <sz val="10"/>
    </font>
    <font>
      <name val="微软雅黑"/>
      <charset val="134"/>
      <b val="1"/>
      <color rgb="FF000000"/>
      <sz val="9"/>
    </font>
    <font>
      <name val="微软雅黑"/>
      <charset val="134"/>
      <i val="1"/>
      <color rgb="FF1F4E79"/>
      <sz val="9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4" fillId="0" borderId="0" xfId="0">
      <alignment vertical="center"/>
    </xf>
    <xf fontId="5" fillId="0" borderId="1" xfId="0">
      <alignment horizontal="center" vertical="center" wrapText="1"/>
    </xf>
    <xf fontId="5" fillId="0" borderId="1" xfId="0">
      <alignment horizontal="left" vertical="center" wrapText="1"/>
    </xf>
    <xf numFmtId="9" fontId="5" fillId="0" borderId="1" xfId="0">
      <alignment horizontal="center" vertical="center" wrapText="1"/>
    </xf>
    <xf fontId="4" fillId="0" borderId="0" xfId="0">
      <alignment vertical="center" wrapText="1"/>
    </xf>
    <xf fontId="6" fillId="0" borderId="2" xfId="0">
      <alignment horizontal="center" vertical="center" wrapText="1"/>
    </xf>
    <xf fontId="6" fillId="0" borderId="2" xfId="0">
      <alignment horizontal="left" vertical="center" wrapText="1"/>
    </xf>
    <xf numFmtId="9" fontId="6" fillId="0" borderId="2" xfId="0">
      <alignment horizontal="center" vertical="center" wrapText="1"/>
    </xf>
    <xf fontId="7" fillId="2" borderId="0" xfId="0">
      <alignment horizontal="center" vertical="center" wrapText="1"/>
    </xf>
    <xf fontId="8" fillId="3" borderId="1" xfId="0">
      <alignment horizontal="left" vertical="center"/>
    </xf>
    <xf fontId="4" fillId="3" borderId="1" xfId="0">
      <alignment vertical="center"/>
    </xf>
    <xf fontId="4" fillId="4" borderId="1" xfId="0">
      <alignment vertical="center"/>
    </xf>
    <xf fontId="9" fillId="4" borderId="1" xfId="0">
      <alignment horizontal="left" vertical="center" wrapText="1"/>
    </xf>
    <xf fontId="10" fillId="0" borderId="1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</sheetPr>
  <dimension ref="N200"/>
  <sheetViews>
    <sheetView showGridLines="1" tabSelected="0" workbookViewId="0">
      <pane ySplit="2" topLeftCell="A3" activePane="bottomLeft" state="frozen"/>
    </sheetView>
  </sheetViews>
  <sheetFormatPr defaultColWidth="8" defaultRowHeight="14.25"/>
  <cols>
    <col min="1" max="1" width="5" customWidth="1"/>
    <col min="2" max="2" width="8" customWidth="1"/>
    <col min="3" max="3" width="22.793" customWidth="1"/>
    <col min="4" max="4" width="9" customWidth="1"/>
    <col min="5" max="5" width="7" customWidth="1"/>
    <col min="6" max="6" width="40.1914" customWidth="1"/>
    <col min="7" max="8" width="9.84375" customWidth="1"/>
    <col min="9" max="9" width="9.84375" customWidth="1"/>
    <col min="10" max="10" width="9.84375" customWidth="1"/>
    <col min="11" max="11" width="13" customWidth="1"/>
    <col min="12" max="12" width="25.4922" customWidth="1"/>
    <col min="13" max="13" width="8" customWidth="1"/>
    <col min="14" max="14" width="13" customWidth="1"/>
  </cols>
  <sheetData>
    <row r="1" spans="1:20" ht="26" customHeight="1">
      <c r="A1" s="13" t="s">
        <v>145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</row>
    <row r="2" spans="1:20" ht="28" customHeight="1">
      <c r="A2" s="4" t="s">
        <v>1</v>
      </c>
      <c r="B2" s="4" t="s">
        <v>146</v>
      </c>
      <c r="C2" s="4" t="s">
        <v>147</v>
      </c>
      <c r="D2" s="4" t="s">
        <v>148</v>
      </c>
      <c r="E2" s="4" t="s">
        <v>7</v>
      </c>
      <c r="F2" s="4" t="s">
        <v>149</v>
      </c>
      <c r="G2" s="4" t="s">
        <v>150</v>
      </c>
      <c r="H2" s="4" t="s">
        <v>151</v>
      </c>
      <c r="I2" s="4" t="s">
        <v>12</v>
      </c>
      <c r="J2" s="4" t="s">
        <v>152</v>
      </c>
      <c r="K2" s="4" t="s">
        <v>18</v>
      </c>
      <c r="L2" s="4" t="s">
        <v>19</v>
      </c>
      <c r="M2" s="4" t="s">
        <v>17</v>
      </c>
      <c r="N2" s="4" t="s">
        <v>153</v>
      </c>
      <c r="O2" s="5" t="s"/>
      <c r="P2" s="5" t="s"/>
      <c r="Q2" s="5" t="s"/>
      <c r="R2" s="5" t="s"/>
      <c r="S2" s="5" t="s"/>
      <c r="T2" s="5" t="s"/>
    </row>
    <row r="3" spans="1:14" ht="16.5">
      <c r="A3" s="14" t="s">
        <v>154</v>
      </c>
      <c r="B3" s="15" t="s"/>
      <c r="C3" s="15" t="s"/>
      <c r="D3" s="15" t="s"/>
      <c r="E3" s="15" t="s"/>
      <c r="F3" s="15" t="s"/>
      <c r="G3" s="15" t="s"/>
      <c r="H3" s="15" t="s"/>
      <c r="I3" s="15" t="s"/>
      <c r="J3" s="15" t="s"/>
      <c r="K3" s="15" t="s"/>
      <c r="L3" s="15" t="s"/>
      <c r="M3" s="15" t="s"/>
      <c r="N3" s="15" t="s"/>
    </row>
    <row r="4" spans="1:14">
      <c r="A4" s="6">
        <v>1</v>
      </c>
      <c r="B4" s="6" t="s">
        <v>155</v>
      </c>
      <c r="C4" s="7" t="s">
        <v>69</v>
      </c>
      <c r="D4" s="6" t="s">
        <v>68</v>
      </c>
      <c r="E4" s="6" t="s">
        <v>22</v>
      </c>
      <c r="F4" s="7" t="s">
        <v>73</v>
      </c>
      <c r="G4" s="6" t="s">
        <v>24</v>
      </c>
      <c r="H4" s="6" t="s">
        <v>49</v>
      </c>
      <c r="I4" s="6">
        <v>0</v>
      </c>
      <c r="J4" s="6" t="s">
        <v>26</v>
      </c>
      <c r="K4" s="7" t="s">
        <v>156</v>
      </c>
      <c r="L4" s="7" t="s">
        <v>74</v>
      </c>
      <c r="M4" s="7" t="s"/>
      <c r="N4" s="7" t="s">
        <v>157</v>
      </c>
    </row>
    <row r="5" spans="1:14">
      <c r="A5" s="6">
        <v>2</v>
      </c>
      <c r="B5" s="6" t="s">
        <v>155</v>
      </c>
      <c r="C5" s="7" t="s">
        <v>69</v>
      </c>
      <c r="D5" s="6" t="s">
        <v>68</v>
      </c>
      <c r="E5" s="6" t="s">
        <v>22</v>
      </c>
      <c r="F5" s="7" t="s">
        <v>76</v>
      </c>
      <c r="G5" s="6" t="s">
        <v>24</v>
      </c>
      <c r="H5" s="6" t="s">
        <v>49</v>
      </c>
      <c r="I5" s="6">
        <v>0</v>
      </c>
      <c r="J5" s="6" t="s">
        <v>26</v>
      </c>
      <c r="K5" s="7" t="s">
        <v>156</v>
      </c>
      <c r="L5" s="7" t="s">
        <v>74</v>
      </c>
      <c r="M5" s="7" t="s"/>
      <c r="N5" s="7" t="s">
        <v>157</v>
      </c>
    </row>
    <row r="6" spans="1:14">
      <c r="A6" s="6">
        <v>3</v>
      </c>
      <c r="B6" s="6" t="s">
        <v>155</v>
      </c>
      <c r="C6" s="7" t="s">
        <v>69</v>
      </c>
      <c r="D6" s="6" t="s">
        <v>68</v>
      </c>
      <c r="E6" s="6" t="s">
        <v>30</v>
      </c>
      <c r="F6" s="7" t="s">
        <v>78</v>
      </c>
      <c r="G6" s="6" t="s">
        <v>32</v>
      </c>
      <c r="H6" s="6" t="s">
        <v>33</v>
      </c>
      <c r="I6" s="6">
        <v>0</v>
      </c>
      <c r="J6" s="6" t="s">
        <v>26</v>
      </c>
      <c r="K6" s="7" t="s">
        <v>156</v>
      </c>
      <c r="L6" s="7" t="s">
        <v>74</v>
      </c>
      <c r="M6" s="7" t="s"/>
      <c r="N6" s="7" t="s">
        <v>157</v>
      </c>
    </row>
    <row r="7" spans="1:14" ht="28.5">
      <c r="A7" s="6">
        <v>4</v>
      </c>
      <c r="B7" s="6" t="s">
        <v>155</v>
      </c>
      <c r="C7" s="7" t="s">
        <v>80</v>
      </c>
      <c r="D7" s="6" t="s">
        <v>68</v>
      </c>
      <c r="E7" s="6" t="s">
        <v>22</v>
      </c>
      <c r="F7" s="7" t="s">
        <v>82</v>
      </c>
      <c r="G7" s="6" t="s">
        <v>24</v>
      </c>
      <c r="H7" s="6" t="s">
        <v>49</v>
      </c>
      <c r="I7" s="6">
        <v>0</v>
      </c>
      <c r="J7" s="6" t="s">
        <v>26</v>
      </c>
      <c r="K7" s="7" t="s">
        <v>156</v>
      </c>
      <c r="L7" s="7" t="s">
        <v>74</v>
      </c>
      <c r="M7" s="7" t="s"/>
      <c r="N7" s="7" t="s">
        <v>157</v>
      </c>
    </row>
    <row r="8" spans="1:14">
      <c r="A8" s="6">
        <v>5</v>
      </c>
      <c r="B8" s="6" t="s">
        <v>155</v>
      </c>
      <c r="C8" s="7" t="s">
        <v>83</v>
      </c>
      <c r="D8" s="6" t="s">
        <v>68</v>
      </c>
      <c r="E8" s="6" t="s">
        <v>30</v>
      </c>
      <c r="F8" s="7" t="s">
        <v>85</v>
      </c>
      <c r="G8" s="6" t="s">
        <v>79</v>
      </c>
      <c r="H8" s="6" t="s">
        <v>62</v>
      </c>
      <c r="I8" s="6">
        <v>0</v>
      </c>
      <c r="J8" s="6" t="s">
        <v>26</v>
      </c>
      <c r="K8" s="7" t="s">
        <v>156</v>
      </c>
      <c r="L8" s="7" t="s">
        <v>74</v>
      </c>
      <c r="M8" s="7" t="s"/>
      <c r="N8" s="7" t="s">
        <v>157</v>
      </c>
    </row>
    <row r="9" spans="1:14">
      <c r="A9" s="6">
        <v>6</v>
      </c>
      <c r="B9" s="6" t="s">
        <v>155</v>
      </c>
      <c r="C9" s="7" t="s">
        <v>87</v>
      </c>
      <c r="D9" s="6" t="s">
        <v>86</v>
      </c>
      <c r="E9" s="6" t="s">
        <v>22</v>
      </c>
      <c r="F9" s="7" t="s">
        <v>90</v>
      </c>
      <c r="G9" s="6" t="s">
        <v>24</v>
      </c>
      <c r="H9" s="6" t="s">
        <v>79</v>
      </c>
      <c r="I9" s="6">
        <v>0</v>
      </c>
      <c r="J9" s="6" t="s">
        <v>26</v>
      </c>
      <c r="K9" s="7" t="s">
        <v>156</v>
      </c>
      <c r="L9" s="7" t="s">
        <v>74</v>
      </c>
      <c r="M9" s="7" t="s"/>
      <c r="N9" s="7" t="s">
        <v>157</v>
      </c>
    </row>
    <row r="10" spans="1:14">
      <c r="A10" s="6">
        <v>7</v>
      </c>
      <c r="B10" s="6" t="s">
        <v>155</v>
      </c>
      <c r="C10" s="7" t="s">
        <v>91</v>
      </c>
      <c r="D10" s="6" t="s">
        <v>86</v>
      </c>
      <c r="E10" s="6" t="s">
        <v>22</v>
      </c>
      <c r="F10" s="7" t="s">
        <v>93</v>
      </c>
      <c r="G10" s="6" t="s">
        <v>24</v>
      </c>
      <c r="H10" s="6" t="s">
        <v>79</v>
      </c>
      <c r="I10" s="6">
        <v>0</v>
      </c>
      <c r="J10" s="6" t="s">
        <v>26</v>
      </c>
      <c r="K10" s="7" t="s">
        <v>156</v>
      </c>
      <c r="L10" s="7" t="s">
        <v>74</v>
      </c>
      <c r="M10" s="7" t="s"/>
      <c r="N10" s="7" t="s">
        <v>157</v>
      </c>
    </row>
    <row r="11" spans="1:14">
      <c r="A11" s="6">
        <v>8</v>
      </c>
      <c r="B11" s="6" t="s">
        <v>155</v>
      </c>
      <c r="C11" s="7" t="s">
        <v>94</v>
      </c>
      <c r="D11" s="6" t="s">
        <v>86</v>
      </c>
      <c r="E11" s="6" t="s">
        <v>22</v>
      </c>
      <c r="F11" s="7" t="s">
        <v>96</v>
      </c>
      <c r="G11" s="6" t="s">
        <v>24</v>
      </c>
      <c r="H11" s="6" t="s">
        <v>79</v>
      </c>
      <c r="I11" s="6">
        <v>0</v>
      </c>
      <c r="J11" s="6" t="s">
        <v>26</v>
      </c>
      <c r="K11" s="7" t="s">
        <v>156</v>
      </c>
      <c r="L11" s="7" t="s">
        <v>74</v>
      </c>
      <c r="M11" s="7" t="s"/>
      <c r="N11" s="7" t="s">
        <v>157</v>
      </c>
    </row>
    <row r="12" spans="1:14">
      <c r="A12" s="6">
        <v>9</v>
      </c>
      <c r="B12" s="6" t="s">
        <v>155</v>
      </c>
      <c r="C12" s="7" t="s">
        <v>97</v>
      </c>
      <c r="D12" s="6" t="s">
        <v>86</v>
      </c>
      <c r="E12" s="6" t="s">
        <v>30</v>
      </c>
      <c r="F12" s="7" t="s">
        <v>99</v>
      </c>
      <c r="G12" s="6" t="s">
        <v>32</v>
      </c>
      <c r="H12" s="6" t="s">
        <v>49</v>
      </c>
      <c r="I12" s="6">
        <v>0</v>
      </c>
      <c r="J12" s="6" t="s">
        <v>26</v>
      </c>
      <c r="K12" s="7" t="s">
        <v>156</v>
      </c>
      <c r="L12" s="7" t="s">
        <v>74</v>
      </c>
      <c r="M12" s="7" t="s"/>
      <c r="N12" s="7" t="s">
        <v>157</v>
      </c>
    </row>
    <row r="13" spans="1:14">
      <c r="A13" s="6">
        <v>10</v>
      </c>
      <c r="B13" s="6" t="s">
        <v>155</v>
      </c>
      <c r="C13" s="7" t="s">
        <v>100</v>
      </c>
      <c r="D13" s="6" t="s">
        <v>86</v>
      </c>
      <c r="E13" s="6" t="s">
        <v>30</v>
      </c>
      <c r="F13" s="7" t="s">
        <v>102</v>
      </c>
      <c r="G13" s="6" t="s">
        <v>32</v>
      </c>
      <c r="H13" s="6" t="s">
        <v>25</v>
      </c>
      <c r="I13" s="6">
        <v>0</v>
      </c>
      <c r="J13" s="6" t="s">
        <v>26</v>
      </c>
      <c r="K13" s="7" t="s">
        <v>156</v>
      </c>
      <c r="L13" s="7" t="s">
        <v>74</v>
      </c>
      <c r="M13" s="7" t="s"/>
      <c r="N13" s="7" t="s">
        <v>157</v>
      </c>
    </row>
    <row r="14" spans="1:14">
      <c r="A14" s="6">
        <v>11</v>
      </c>
      <c r="B14" s="6" t="s">
        <v>155</v>
      </c>
      <c r="C14" s="7" t="s">
        <v>103</v>
      </c>
      <c r="D14" s="6" t="s">
        <v>86</v>
      </c>
      <c r="E14" s="6" t="s">
        <v>30</v>
      </c>
      <c r="F14" s="7" t="s">
        <v>105</v>
      </c>
      <c r="G14" s="6" t="s">
        <v>36</v>
      </c>
      <c r="H14" s="6" t="s">
        <v>41</v>
      </c>
      <c r="I14" s="6">
        <v>0</v>
      </c>
      <c r="J14" s="6" t="s">
        <v>26</v>
      </c>
      <c r="K14" s="7" t="s">
        <v>156</v>
      </c>
      <c r="L14" s="7" t="s">
        <v>74</v>
      </c>
      <c r="M14" s="7" t="s"/>
      <c r="N14" s="7" t="s">
        <v>157</v>
      </c>
    </row>
    <row r="15" spans="1:14">
      <c r="A15" s="6">
        <v>12</v>
      </c>
      <c r="B15" s="6" t="s">
        <v>155</v>
      </c>
      <c r="C15" s="7" t="s">
        <v>106</v>
      </c>
      <c r="D15" s="6" t="s">
        <v>86</v>
      </c>
      <c r="E15" s="6" t="s">
        <v>30</v>
      </c>
      <c r="F15" s="7" t="s">
        <v>108</v>
      </c>
      <c r="G15" s="6" t="s">
        <v>36</v>
      </c>
      <c r="H15" s="6" t="s">
        <v>41</v>
      </c>
      <c r="I15" s="6">
        <v>0</v>
      </c>
      <c r="J15" s="6" t="s">
        <v>26</v>
      </c>
      <c r="K15" s="7" t="s">
        <v>156</v>
      </c>
      <c r="L15" s="7" t="s">
        <v>74</v>
      </c>
      <c r="M15" s="7" t="s"/>
      <c r="N15" s="7" t="s">
        <v>157</v>
      </c>
    </row>
    <row r="16" spans="1:14">
      <c r="A16" s="16" t="s"/>
      <c r="B16" s="17" t="s">
        <v>158</v>
      </c>
      <c r="C16" s="16" t="s"/>
      <c r="D16" s="16" t="s"/>
      <c r="E16" s="16" t="s"/>
      <c r="F16" s="16" t="s"/>
      <c r="G16" s="16" t="s"/>
      <c r="H16" s="16" t="s"/>
      <c r="I16" s="16" t="s"/>
      <c r="J16" s="16" t="s"/>
      <c r="K16" s="16" t="s"/>
      <c r="L16" s="16" t="s"/>
      <c r="M16" s="16" t="s"/>
      <c r="N16" s="16" t="s"/>
    </row>
    <row r="17" spans="1:14" ht="16.5">
      <c r="A17" s="14" t="s">
        <v>159</v>
      </c>
      <c r="B17" s="15" t="s"/>
      <c r="C17" s="15" t="s"/>
      <c r="D17" s="15" t="s"/>
      <c r="E17" s="15" t="s"/>
      <c r="F17" s="15" t="s"/>
      <c r="G17" s="15" t="s"/>
      <c r="H17" s="15" t="s"/>
      <c r="I17" s="15" t="s"/>
      <c r="J17" s="15" t="s"/>
      <c r="K17" s="15" t="s"/>
      <c r="L17" s="15" t="s"/>
      <c r="M17" s="15" t="s"/>
      <c r="N17" s="15" t="s"/>
    </row>
    <row r="18" spans="1:14">
      <c r="A18" s="6">
        <v>13</v>
      </c>
      <c r="B18" s="6" t="s">
        <v>160</v>
      </c>
      <c r="C18" s="7" t="s">
        <v>21</v>
      </c>
      <c r="D18" s="6" t="s">
        <v>20</v>
      </c>
      <c r="E18" s="6" t="s">
        <v>22</v>
      </c>
      <c r="F18" s="7" t="s">
        <v>23</v>
      </c>
      <c r="G18" s="6" t="s">
        <v>24</v>
      </c>
      <c r="H18" s="6" t="s">
        <v>25</v>
      </c>
      <c r="I18" s="6">
        <v>0</v>
      </c>
      <c r="J18" s="6" t="s">
        <v>26</v>
      </c>
      <c r="K18" s="7" t="s">
        <v>156</v>
      </c>
      <c r="L18" s="7" t="s">
        <v>28</v>
      </c>
      <c r="M18" s="7" t="s"/>
      <c r="N18" s="7" t="s">
        <v>161</v>
      </c>
    </row>
    <row r="19" spans="1:14">
      <c r="A19" s="6">
        <v>14</v>
      </c>
      <c r="B19" s="6" t="s">
        <v>160</v>
      </c>
      <c r="C19" s="7" t="s">
        <v>29</v>
      </c>
      <c r="D19" s="6" t="s">
        <v>20</v>
      </c>
      <c r="E19" s="6" t="s">
        <v>30</v>
      </c>
      <c r="F19" s="7" t="s">
        <v>31</v>
      </c>
      <c r="G19" s="6" t="s">
        <v>32</v>
      </c>
      <c r="H19" s="6" t="s">
        <v>33</v>
      </c>
      <c r="I19" s="6">
        <v>0</v>
      </c>
      <c r="J19" s="6" t="s">
        <v>26</v>
      </c>
      <c r="K19" s="7" t="s">
        <v>156</v>
      </c>
      <c r="L19" s="7" t="s">
        <v>28</v>
      </c>
      <c r="M19" s="7" t="s"/>
      <c r="N19" s="7" t="s">
        <v>161</v>
      </c>
    </row>
    <row r="20" spans="1:14">
      <c r="A20" s="6">
        <v>15</v>
      </c>
      <c r="B20" s="6" t="s">
        <v>160</v>
      </c>
      <c r="C20" s="7" t="s">
        <v>34</v>
      </c>
      <c r="D20" s="6" t="s">
        <v>20</v>
      </c>
      <c r="E20" s="6" t="s">
        <v>30</v>
      </c>
      <c r="F20" s="7" t="s">
        <v>35</v>
      </c>
      <c r="G20" s="6" t="s">
        <v>36</v>
      </c>
      <c r="H20" s="6" t="s">
        <v>37</v>
      </c>
      <c r="I20" s="6">
        <v>0</v>
      </c>
      <c r="J20" s="6" t="s">
        <v>26</v>
      </c>
      <c r="K20" s="7" t="s">
        <v>156</v>
      </c>
      <c r="L20" s="7" t="s">
        <v>28</v>
      </c>
      <c r="M20" s="7" t="s"/>
      <c r="N20" s="7" t="s">
        <v>161</v>
      </c>
    </row>
    <row r="21" spans="1:14" ht="28.5">
      <c r="A21" s="6">
        <v>16</v>
      </c>
      <c r="B21" s="6" t="s">
        <v>160</v>
      </c>
      <c r="C21" s="7" t="s">
        <v>39</v>
      </c>
      <c r="D21" s="6" t="s">
        <v>38</v>
      </c>
      <c r="E21" s="6" t="s">
        <v>22</v>
      </c>
      <c r="F21" s="7" t="s">
        <v>40</v>
      </c>
      <c r="G21" s="6" t="s">
        <v>24</v>
      </c>
      <c r="H21" s="6" t="s">
        <v>41</v>
      </c>
      <c r="I21" s="6">
        <v>0</v>
      </c>
      <c r="J21" s="6" t="s">
        <v>26</v>
      </c>
      <c r="K21" s="7" t="s">
        <v>156</v>
      </c>
      <c r="L21" s="7" t="s">
        <v>28</v>
      </c>
      <c r="M21" s="7" t="s"/>
      <c r="N21" s="7" t="s">
        <v>161</v>
      </c>
    </row>
    <row r="22" spans="1:14">
      <c r="A22" s="6">
        <v>17</v>
      </c>
      <c r="B22" s="6" t="s">
        <v>160</v>
      </c>
      <c r="C22" s="7" t="s">
        <v>42</v>
      </c>
      <c r="D22" s="6" t="s">
        <v>38</v>
      </c>
      <c r="E22" s="6" t="s">
        <v>30</v>
      </c>
      <c r="F22" s="7" t="s">
        <v>43</v>
      </c>
      <c r="G22" s="6" t="s">
        <v>32</v>
      </c>
      <c r="H22" s="6" t="s">
        <v>25</v>
      </c>
      <c r="I22" s="6">
        <v>0</v>
      </c>
      <c r="J22" s="6" t="s">
        <v>26</v>
      </c>
      <c r="K22" s="7" t="s">
        <v>156</v>
      </c>
      <c r="L22" s="7" t="s">
        <v>28</v>
      </c>
      <c r="M22" s="7" t="s"/>
      <c r="N22" s="7" t="s">
        <v>161</v>
      </c>
    </row>
    <row r="23" spans="1:14">
      <c r="A23" s="6">
        <v>18</v>
      </c>
      <c r="B23" s="6" t="s">
        <v>160</v>
      </c>
      <c r="C23" s="7" t="s">
        <v>44</v>
      </c>
      <c r="D23" s="6" t="s">
        <v>38</v>
      </c>
      <c r="E23" s="6" t="s">
        <v>30</v>
      </c>
      <c r="F23" s="7" t="s">
        <v>45</v>
      </c>
      <c r="G23" s="6" t="s">
        <v>32</v>
      </c>
      <c r="H23" s="6" t="s">
        <v>33</v>
      </c>
      <c r="I23" s="6">
        <v>0</v>
      </c>
      <c r="J23" s="6" t="s">
        <v>26</v>
      </c>
      <c r="K23" s="7" t="s">
        <v>156</v>
      </c>
      <c r="L23" s="7" t="s">
        <v>28</v>
      </c>
      <c r="M23" s="7" t="s"/>
      <c r="N23" s="7" t="s">
        <v>161</v>
      </c>
    </row>
    <row r="24" spans="1:14">
      <c r="A24" s="6">
        <v>19</v>
      </c>
      <c r="B24" s="6" t="s">
        <v>160</v>
      </c>
      <c r="C24" s="7" t="s">
        <v>46</v>
      </c>
      <c r="D24" s="6" t="s">
        <v>38</v>
      </c>
      <c r="E24" s="6" t="s">
        <v>47</v>
      </c>
      <c r="F24" s="7" t="s">
        <v>48</v>
      </c>
      <c r="G24" s="6" t="s">
        <v>49</v>
      </c>
      <c r="H24" s="6" t="s">
        <v>50</v>
      </c>
      <c r="I24" s="6">
        <v>0</v>
      </c>
      <c r="J24" s="6" t="s">
        <v>26</v>
      </c>
      <c r="K24" s="7" t="s">
        <v>156</v>
      </c>
      <c r="L24" s="7" t="s">
        <v>28</v>
      </c>
      <c r="M24" s="7" t="s"/>
      <c r="N24" s="7" t="s">
        <v>161</v>
      </c>
    </row>
    <row r="25" spans="1:14" ht="28.5">
      <c r="A25" s="6">
        <v>20</v>
      </c>
      <c r="B25" s="6" t="s">
        <v>160</v>
      </c>
      <c r="C25" s="7" t="s">
        <v>52</v>
      </c>
      <c r="D25" s="6" t="s">
        <v>51</v>
      </c>
      <c r="E25" s="6" t="s">
        <v>22</v>
      </c>
      <c r="F25" s="7" t="s">
        <v>53</v>
      </c>
      <c r="G25" s="6" t="s">
        <v>24</v>
      </c>
      <c r="H25" s="6" t="s">
        <v>49</v>
      </c>
      <c r="I25" s="6">
        <v>0</v>
      </c>
      <c r="J25" s="6" t="s">
        <v>26</v>
      </c>
      <c r="K25" s="7" t="s">
        <v>156</v>
      </c>
      <c r="L25" s="7" t="s">
        <v>28</v>
      </c>
      <c r="M25" s="7" t="s"/>
      <c r="N25" s="7" t="s">
        <v>161</v>
      </c>
    </row>
    <row r="26" spans="1:14" ht="28.5">
      <c r="A26" s="6">
        <v>21</v>
      </c>
      <c r="B26" s="6" t="s">
        <v>160</v>
      </c>
      <c r="C26" s="7" t="s">
        <v>54</v>
      </c>
      <c r="D26" s="6" t="s">
        <v>51</v>
      </c>
      <c r="E26" s="6" t="s">
        <v>30</v>
      </c>
      <c r="F26" s="7" t="s">
        <v>55</v>
      </c>
      <c r="G26" s="6" t="s">
        <v>32</v>
      </c>
      <c r="H26" s="6" t="s">
        <v>25</v>
      </c>
      <c r="I26" s="6">
        <v>0</v>
      </c>
      <c r="J26" s="6" t="s">
        <v>26</v>
      </c>
      <c r="K26" s="7" t="s">
        <v>156</v>
      </c>
      <c r="L26" s="7" t="s">
        <v>28</v>
      </c>
      <c r="M26" s="7" t="s"/>
      <c r="N26" s="7" t="s">
        <v>161</v>
      </c>
    </row>
    <row r="27" spans="1:14" ht="28.5">
      <c r="A27" s="6">
        <v>22</v>
      </c>
      <c r="B27" s="6" t="s">
        <v>160</v>
      </c>
      <c r="C27" s="7" t="s">
        <v>57</v>
      </c>
      <c r="D27" s="6" t="s">
        <v>56</v>
      </c>
      <c r="E27" s="6" t="s">
        <v>30</v>
      </c>
      <c r="F27" s="7" t="s">
        <v>58</v>
      </c>
      <c r="G27" s="6" t="s">
        <v>36</v>
      </c>
      <c r="H27" s="6" t="s">
        <v>37</v>
      </c>
      <c r="I27" s="6">
        <v>0</v>
      </c>
      <c r="J27" s="6" t="s">
        <v>26</v>
      </c>
      <c r="K27" s="7" t="s">
        <v>156</v>
      </c>
      <c r="L27" s="7" t="s">
        <v>28</v>
      </c>
      <c r="M27" s="7" t="s"/>
      <c r="N27" s="7" t="s">
        <v>161</v>
      </c>
    </row>
    <row r="28" spans="1:14" ht="28.5">
      <c r="A28" s="6">
        <v>23</v>
      </c>
      <c r="B28" s="6" t="s">
        <v>160</v>
      </c>
      <c r="C28" s="7" t="s">
        <v>60</v>
      </c>
      <c r="D28" s="6" t="s">
        <v>59</v>
      </c>
      <c r="E28" s="6" t="s">
        <v>30</v>
      </c>
      <c r="F28" s="7" t="s">
        <v>61</v>
      </c>
      <c r="G28" s="6" t="s">
        <v>32</v>
      </c>
      <c r="H28" s="6" t="s">
        <v>62</v>
      </c>
      <c r="I28" s="6">
        <v>0</v>
      </c>
      <c r="J28" s="6" t="s">
        <v>26</v>
      </c>
      <c r="K28" s="7" t="s">
        <v>156</v>
      </c>
      <c r="L28" s="7" t="s">
        <v>28</v>
      </c>
      <c r="M28" s="7" t="s"/>
      <c r="N28" s="7" t="s">
        <v>161</v>
      </c>
    </row>
    <row r="29" spans="1:14">
      <c r="A29" s="16" t="s"/>
      <c r="B29" s="17" t="s">
        <v>162</v>
      </c>
      <c r="C29" s="16" t="s"/>
      <c r="D29" s="16" t="s"/>
      <c r="E29" s="16" t="s"/>
      <c r="F29" s="16" t="s"/>
      <c r="G29" s="16" t="s"/>
      <c r="H29" s="16" t="s"/>
      <c r="I29" s="16" t="s"/>
      <c r="J29" s="16" t="s"/>
      <c r="K29" s="16" t="s"/>
      <c r="L29" s="16" t="s"/>
      <c r="M29" s="16" t="s"/>
      <c r="N29" s="16" t="s"/>
    </row>
    <row r="30" spans="1:14" ht="16.5">
      <c r="A30" s="14" t="s">
        <v>163</v>
      </c>
      <c r="B30" s="15" t="s"/>
      <c r="C30" s="15" t="s"/>
      <c r="D30" s="15" t="s"/>
      <c r="E30" s="15" t="s"/>
      <c r="F30" s="15" t="s"/>
      <c r="G30" s="15" t="s"/>
      <c r="H30" s="15" t="s"/>
      <c r="I30" s="15" t="s"/>
      <c r="J30" s="15" t="s"/>
      <c r="K30" s="15" t="s"/>
      <c r="L30" s="15" t="s"/>
      <c r="M30" s="15" t="s"/>
      <c r="N30" s="15" t="s"/>
    </row>
    <row r="31" spans="1:14">
      <c r="A31" s="6">
        <v>24</v>
      </c>
      <c r="B31" s="6" t="s">
        <v>164</v>
      </c>
      <c r="C31" s="7" t="s">
        <v>165</v>
      </c>
      <c r="D31" s="6" t="s">
        <v>166</v>
      </c>
      <c r="E31" s="6" t="s">
        <v>22</v>
      </c>
      <c r="F31" s="7" t="s">
        <v>167</v>
      </c>
      <c r="G31" s="6" t="s">
        <v>24</v>
      </c>
      <c r="H31" s="6" t="s">
        <v>32</v>
      </c>
      <c r="I31" s="6">
        <v>0</v>
      </c>
      <c r="J31" s="6" t="s">
        <v>26</v>
      </c>
      <c r="K31" s="7" t="s">
        <v>156</v>
      </c>
      <c r="L31" s="7" t="s">
        <v>168</v>
      </c>
      <c r="M31" s="7" t="s"/>
      <c r="N31" s="7" t="s">
        <v>169</v>
      </c>
    </row>
    <row r="32" spans="1:14">
      <c r="A32" s="6">
        <v>25</v>
      </c>
      <c r="B32" s="6" t="s">
        <v>164</v>
      </c>
      <c r="C32" s="7" t="s">
        <v>165</v>
      </c>
      <c r="D32" s="6" t="s">
        <v>166</v>
      </c>
      <c r="E32" s="6" t="s">
        <v>22</v>
      </c>
      <c r="F32" s="7" t="s">
        <v>170</v>
      </c>
      <c r="G32" s="6" t="s">
        <v>33</v>
      </c>
      <c r="H32" s="6" t="s">
        <v>37</v>
      </c>
      <c r="I32" s="6">
        <v>0</v>
      </c>
      <c r="J32" s="6" t="s">
        <v>26</v>
      </c>
      <c r="K32" s="7" t="s">
        <v>156</v>
      </c>
      <c r="L32" s="7" t="s">
        <v>168</v>
      </c>
      <c r="M32" s="7" t="s"/>
      <c r="N32" s="7" t="s">
        <v>169</v>
      </c>
    </row>
    <row r="33" spans="1:14">
      <c r="A33" s="6">
        <v>26</v>
      </c>
      <c r="B33" s="6" t="s">
        <v>164</v>
      </c>
      <c r="C33" s="7" t="s">
        <v>171</v>
      </c>
      <c r="D33" s="6" t="s">
        <v>166</v>
      </c>
      <c r="E33" s="6" t="s">
        <v>30</v>
      </c>
      <c r="F33" s="7" t="s">
        <v>172</v>
      </c>
      <c r="G33" s="6" t="s">
        <v>24</v>
      </c>
      <c r="H33" s="6" t="s">
        <v>32</v>
      </c>
      <c r="I33" s="6">
        <v>0</v>
      </c>
      <c r="J33" s="6" t="s">
        <v>26</v>
      </c>
      <c r="K33" s="7" t="s">
        <v>156</v>
      </c>
      <c r="L33" s="7" t="s">
        <v>168</v>
      </c>
      <c r="M33" s="7" t="s"/>
      <c r="N33" s="7" t="s">
        <v>169</v>
      </c>
    </row>
    <row r="34" spans="1:14">
      <c r="A34" s="6">
        <v>27</v>
      </c>
      <c r="B34" s="6" t="s">
        <v>164</v>
      </c>
      <c r="C34" s="7" t="s">
        <v>173</v>
      </c>
      <c r="D34" s="6" t="s">
        <v>166</v>
      </c>
      <c r="E34" s="6" t="s">
        <v>30</v>
      </c>
      <c r="F34" s="7" t="s">
        <v>174</v>
      </c>
      <c r="G34" s="6" t="s">
        <v>36</v>
      </c>
      <c r="H34" s="6" t="s">
        <v>79</v>
      </c>
      <c r="I34" s="6">
        <v>0</v>
      </c>
      <c r="J34" s="6" t="s">
        <v>26</v>
      </c>
      <c r="K34" s="7" t="s">
        <v>156</v>
      </c>
      <c r="L34" s="7" t="s">
        <v>168</v>
      </c>
      <c r="M34" s="7" t="s"/>
      <c r="N34" s="7" t="s">
        <v>169</v>
      </c>
    </row>
    <row r="35" spans="1:14">
      <c r="A35" s="6">
        <v>28</v>
      </c>
      <c r="B35" s="6" t="s">
        <v>164</v>
      </c>
      <c r="C35" s="7" t="s">
        <v>175</v>
      </c>
      <c r="D35" s="6" t="s">
        <v>166</v>
      </c>
      <c r="E35" s="6" t="s">
        <v>30</v>
      </c>
      <c r="F35" s="7" t="s">
        <v>176</v>
      </c>
      <c r="G35" s="6" t="s">
        <v>25</v>
      </c>
      <c r="H35" s="6" t="s">
        <v>33</v>
      </c>
      <c r="I35" s="6">
        <v>0</v>
      </c>
      <c r="J35" s="6" t="s">
        <v>26</v>
      </c>
      <c r="K35" s="7" t="s">
        <v>156</v>
      </c>
      <c r="L35" s="7" t="s">
        <v>168</v>
      </c>
      <c r="M35" s="7" t="s"/>
      <c r="N35" s="7" t="s">
        <v>169</v>
      </c>
    </row>
    <row r="36" spans="1:14">
      <c r="A36" s="6">
        <v>29</v>
      </c>
      <c r="B36" s="6" t="s">
        <v>164</v>
      </c>
      <c r="C36" s="7" t="s">
        <v>177</v>
      </c>
      <c r="D36" s="6" t="s">
        <v>178</v>
      </c>
      <c r="E36" s="6" t="s">
        <v>22</v>
      </c>
      <c r="F36" s="7" t="s">
        <v>179</v>
      </c>
      <c r="G36" s="6" t="s">
        <v>24</v>
      </c>
      <c r="H36" s="6" t="s">
        <v>32</v>
      </c>
      <c r="I36" s="6">
        <v>0</v>
      </c>
      <c r="J36" s="6" t="s">
        <v>26</v>
      </c>
      <c r="K36" s="7" t="s">
        <v>156</v>
      </c>
      <c r="L36" s="7" t="s">
        <v>168</v>
      </c>
      <c r="M36" s="7" t="s"/>
      <c r="N36" s="7" t="s">
        <v>169</v>
      </c>
    </row>
    <row r="37" spans="1:14">
      <c r="A37" s="6">
        <v>30</v>
      </c>
      <c r="B37" s="6" t="s">
        <v>164</v>
      </c>
      <c r="C37" s="7" t="s">
        <v>177</v>
      </c>
      <c r="D37" s="6" t="s">
        <v>178</v>
      </c>
      <c r="E37" s="6" t="s">
        <v>22</v>
      </c>
      <c r="F37" s="7" t="s">
        <v>180</v>
      </c>
      <c r="G37" s="6" t="s">
        <v>33</v>
      </c>
      <c r="H37" s="6" t="s">
        <v>37</v>
      </c>
      <c r="I37" s="6">
        <v>0</v>
      </c>
      <c r="J37" s="6" t="s">
        <v>26</v>
      </c>
      <c r="K37" s="7" t="s">
        <v>156</v>
      </c>
      <c r="L37" s="7" t="s">
        <v>168</v>
      </c>
      <c r="M37" s="7" t="s"/>
      <c r="N37" s="7" t="s">
        <v>169</v>
      </c>
    </row>
    <row r="38" spans="1:14">
      <c r="A38" s="6">
        <v>31</v>
      </c>
      <c r="B38" s="6" t="s">
        <v>164</v>
      </c>
      <c r="C38" s="7" t="s">
        <v>181</v>
      </c>
      <c r="D38" s="6" t="s">
        <v>178</v>
      </c>
      <c r="E38" s="6" t="s">
        <v>30</v>
      </c>
      <c r="F38" s="7" t="s">
        <v>182</v>
      </c>
      <c r="G38" s="6" t="s">
        <v>25</v>
      </c>
      <c r="H38" s="6" t="s">
        <v>33</v>
      </c>
      <c r="I38" s="6">
        <v>0</v>
      </c>
      <c r="J38" s="6" t="s">
        <v>26</v>
      </c>
      <c r="K38" s="7" t="s">
        <v>156</v>
      </c>
      <c r="L38" s="7" t="s">
        <v>168</v>
      </c>
      <c r="M38" s="7" t="s"/>
      <c r="N38" s="7" t="s">
        <v>169</v>
      </c>
    </row>
    <row r="39" spans="1:14">
      <c r="A39" s="6">
        <v>32</v>
      </c>
      <c r="B39" s="6" t="s">
        <v>164</v>
      </c>
      <c r="C39" s="7" t="s">
        <v>183</v>
      </c>
      <c r="D39" s="6" t="s">
        <v>178</v>
      </c>
      <c r="E39" s="6" t="s">
        <v>30</v>
      </c>
      <c r="F39" s="7" t="s">
        <v>184</v>
      </c>
      <c r="G39" s="6" t="s">
        <v>79</v>
      </c>
      <c r="H39" s="6" t="s">
        <v>49</v>
      </c>
      <c r="I39" s="6">
        <v>0</v>
      </c>
      <c r="J39" s="6" t="s">
        <v>26</v>
      </c>
      <c r="K39" s="7" t="s">
        <v>156</v>
      </c>
      <c r="L39" s="7" t="s">
        <v>168</v>
      </c>
      <c r="M39" s="7" t="s"/>
      <c r="N39" s="7" t="s">
        <v>169</v>
      </c>
    </row>
    <row r="40" spans="1:14">
      <c r="A40" s="6">
        <v>33</v>
      </c>
      <c r="B40" s="6" t="s">
        <v>164</v>
      </c>
      <c r="C40" s="7" t="s">
        <v>185</v>
      </c>
      <c r="D40" s="6" t="s">
        <v>178</v>
      </c>
      <c r="E40" s="6" t="s">
        <v>47</v>
      </c>
      <c r="F40" s="7" t="s">
        <v>186</v>
      </c>
      <c r="G40" s="6" t="s">
        <v>187</v>
      </c>
      <c r="H40" s="6" t="s">
        <v>50</v>
      </c>
      <c r="I40" s="6">
        <v>0</v>
      </c>
      <c r="J40" s="6" t="s">
        <v>26</v>
      </c>
      <c r="K40" s="7" t="s">
        <v>156</v>
      </c>
      <c r="L40" s="7" t="s">
        <v>168</v>
      </c>
      <c r="M40" s="7" t="s"/>
      <c r="N40" s="7" t="s">
        <v>169</v>
      </c>
    </row>
    <row r="41" spans="1:14">
      <c r="A41" s="6">
        <v>34</v>
      </c>
      <c r="B41" s="6" t="s">
        <v>164</v>
      </c>
      <c r="C41" s="7" t="s">
        <v>188</v>
      </c>
      <c r="D41" s="6" t="s">
        <v>189</v>
      </c>
      <c r="E41" s="6" t="s">
        <v>30</v>
      </c>
      <c r="F41" s="7" t="s">
        <v>190</v>
      </c>
      <c r="G41" s="6" t="s">
        <v>24</v>
      </c>
      <c r="H41" s="6" t="s">
        <v>32</v>
      </c>
      <c r="I41" s="6">
        <v>0</v>
      </c>
      <c r="J41" s="6" t="s">
        <v>26</v>
      </c>
      <c r="K41" s="7" t="s">
        <v>156</v>
      </c>
      <c r="L41" s="7" t="s">
        <v>168</v>
      </c>
      <c r="M41" s="7" t="s"/>
      <c r="N41" s="7" t="s">
        <v>169</v>
      </c>
    </row>
    <row r="42" spans="1:14">
      <c r="A42" s="6">
        <v>35</v>
      </c>
      <c r="B42" s="6" t="s">
        <v>164</v>
      </c>
      <c r="C42" s="7" t="s">
        <v>191</v>
      </c>
      <c r="D42" s="6" t="s">
        <v>189</v>
      </c>
      <c r="E42" s="6" t="s">
        <v>47</v>
      </c>
      <c r="F42" s="7" t="s">
        <v>190</v>
      </c>
      <c r="G42" s="6" t="s">
        <v>24</v>
      </c>
      <c r="H42" s="6" t="s">
        <v>32</v>
      </c>
      <c r="I42" s="6">
        <v>0</v>
      </c>
      <c r="J42" s="6" t="s">
        <v>26</v>
      </c>
      <c r="K42" s="7" t="s">
        <v>156</v>
      </c>
      <c r="L42" s="7" t="s">
        <v>168</v>
      </c>
      <c r="M42" s="7" t="s"/>
      <c r="N42" s="7" t="s">
        <v>169</v>
      </c>
    </row>
    <row r="43" spans="1:14">
      <c r="A43" s="6">
        <v>36</v>
      </c>
      <c r="B43" s="6" t="s">
        <v>164</v>
      </c>
      <c r="C43" s="7" t="s">
        <v>192</v>
      </c>
      <c r="D43" s="6" t="s">
        <v>189</v>
      </c>
      <c r="E43" s="6" t="s">
        <v>47</v>
      </c>
      <c r="F43" s="7" t="s">
        <v>193</v>
      </c>
      <c r="G43" s="6" t="s">
        <v>24</v>
      </c>
      <c r="H43" s="6" t="s">
        <v>32</v>
      </c>
      <c r="I43" s="6">
        <v>0</v>
      </c>
      <c r="J43" s="6" t="s">
        <v>26</v>
      </c>
      <c r="K43" s="7" t="s">
        <v>156</v>
      </c>
      <c r="L43" s="7" t="s">
        <v>168</v>
      </c>
      <c r="M43" s="7" t="s"/>
      <c r="N43" s="7" t="s">
        <v>169</v>
      </c>
    </row>
    <row r="44" spans="1:14">
      <c r="A44" s="6">
        <v>37</v>
      </c>
      <c r="B44" s="6" t="s">
        <v>164</v>
      </c>
      <c r="C44" s="7" t="s">
        <v>194</v>
      </c>
      <c r="D44" s="6" t="s">
        <v>195</v>
      </c>
      <c r="E44" s="6" t="s">
        <v>30</v>
      </c>
      <c r="F44" s="7" t="s">
        <v>196</v>
      </c>
      <c r="G44" s="6" t="s">
        <v>187</v>
      </c>
      <c r="H44" s="6" t="s">
        <v>50</v>
      </c>
      <c r="I44" s="6">
        <v>0</v>
      </c>
      <c r="J44" s="6" t="s">
        <v>26</v>
      </c>
      <c r="K44" s="7" t="s">
        <v>156</v>
      </c>
      <c r="L44" s="7" t="s">
        <v>168</v>
      </c>
      <c r="M44" s="7" t="s"/>
      <c r="N44" s="7" t="s">
        <v>169</v>
      </c>
    </row>
    <row r="45" spans="1:14">
      <c r="A45" s="16" t="s"/>
      <c r="B45" s="17" t="s">
        <v>197</v>
      </c>
      <c r="C45" s="16" t="s"/>
      <c r="D45" s="16" t="s"/>
      <c r="E45" s="16" t="s"/>
      <c r="F45" s="16" t="s"/>
      <c r="G45" s="16" t="s"/>
      <c r="H45" s="16" t="s"/>
      <c r="I45" s="16" t="s"/>
      <c r="J45" s="16" t="s"/>
      <c r="K45" s="16" t="s"/>
      <c r="L45" s="16" t="s"/>
      <c r="M45" s="16" t="s"/>
      <c r="N45" s="16" t="s"/>
    </row>
    <row r="46" spans="1:14" ht="16.5">
      <c r="A46" s="14" t="s">
        <v>198</v>
      </c>
      <c r="B46" s="15" t="s"/>
      <c r="C46" s="15" t="s"/>
      <c r="D46" s="15" t="s"/>
      <c r="E46" s="15" t="s"/>
      <c r="F46" s="15" t="s"/>
      <c r="G46" s="15" t="s"/>
      <c r="H46" s="15" t="s"/>
      <c r="I46" s="15" t="s"/>
      <c r="J46" s="15" t="s"/>
      <c r="K46" s="15" t="s"/>
      <c r="L46" s="15" t="s"/>
      <c r="M46" s="15" t="s"/>
      <c r="N46" s="15" t="s"/>
    </row>
    <row r="47" spans="1:14">
      <c r="A47" s="6">
        <v>38</v>
      </c>
      <c r="B47" s="6" t="s">
        <v>199</v>
      </c>
      <c r="C47" s="7" t="s">
        <v>200</v>
      </c>
      <c r="D47" s="6" t="s">
        <v>122</v>
      </c>
      <c r="E47" s="6" t="s">
        <v>201</v>
      </c>
      <c r="F47" s="7" t="s">
        <v>202</v>
      </c>
      <c r="G47" s="6" t="s">
        <v>203</v>
      </c>
      <c r="H47" s="6" t="s">
        <v>204</v>
      </c>
      <c r="I47" s="6">
        <v>0</v>
      </c>
      <c r="J47" s="6" t="s">
        <v>205</v>
      </c>
      <c r="K47" s="7" t="s">
        <v>156</v>
      </c>
      <c r="L47" s="7" t="s">
        <v>206</v>
      </c>
      <c r="M47" s="7" t="s"/>
      <c r="N47" s="7" t="s">
        <v>207</v>
      </c>
    </row>
    <row r="48" spans="1:14">
      <c r="A48" s="6">
        <v>39</v>
      </c>
      <c r="B48" s="6" t="s">
        <v>199</v>
      </c>
      <c r="C48" s="7" t="s">
        <v>208</v>
      </c>
      <c r="D48" s="6" t="s">
        <v>122</v>
      </c>
      <c r="E48" s="6" t="s">
        <v>201</v>
      </c>
      <c r="F48" s="7" t="s">
        <v>209</v>
      </c>
      <c r="G48" s="6" t="s">
        <v>210</v>
      </c>
      <c r="H48" s="6" t="s">
        <v>211</v>
      </c>
      <c r="I48" s="6">
        <v>0</v>
      </c>
      <c r="J48" s="6" t="s">
        <v>205</v>
      </c>
      <c r="K48" s="7" t="s">
        <v>156</v>
      </c>
      <c r="L48" s="7" t="s">
        <v>206</v>
      </c>
      <c r="M48" s="7" t="s"/>
      <c r="N48" s="7" t="s">
        <v>207</v>
      </c>
    </row>
    <row r="49" spans="1:14">
      <c r="A49" s="6">
        <v>40</v>
      </c>
      <c r="B49" s="6" t="s">
        <v>199</v>
      </c>
      <c r="C49" s="7" t="s">
        <v>212</v>
      </c>
      <c r="D49" s="6" t="s">
        <v>122</v>
      </c>
      <c r="E49" s="6" t="s">
        <v>201</v>
      </c>
      <c r="F49" s="7" t="s">
        <v>209</v>
      </c>
      <c r="G49" s="6" t="s">
        <v>213</v>
      </c>
      <c r="H49" s="6" t="s">
        <v>214</v>
      </c>
      <c r="I49" s="6">
        <v>0</v>
      </c>
      <c r="J49" s="6" t="s">
        <v>205</v>
      </c>
      <c r="K49" s="7" t="s">
        <v>156</v>
      </c>
      <c r="L49" s="7" t="s">
        <v>206</v>
      </c>
      <c r="M49" s="7" t="s"/>
      <c r="N49" s="7" t="s">
        <v>207</v>
      </c>
    </row>
    <row r="50" spans="1:14">
      <c r="A50" s="6">
        <v>41</v>
      </c>
      <c r="B50" s="6" t="s">
        <v>199</v>
      </c>
      <c r="C50" s="7" t="s">
        <v>215</v>
      </c>
      <c r="D50" s="6" t="s">
        <v>134</v>
      </c>
      <c r="E50" s="6" t="s">
        <v>201</v>
      </c>
      <c r="F50" s="7" t="s">
        <v>216</v>
      </c>
      <c r="G50" s="6" t="s">
        <v>217</v>
      </c>
      <c r="H50" s="6" t="s">
        <v>218</v>
      </c>
      <c r="I50" s="6">
        <v>0</v>
      </c>
      <c r="J50" s="6" t="s">
        <v>205</v>
      </c>
      <c r="K50" s="7" t="s">
        <v>156</v>
      </c>
      <c r="L50" s="7" t="s">
        <v>206</v>
      </c>
      <c r="M50" s="7" t="s"/>
      <c r="N50" s="7" t="s">
        <v>207</v>
      </c>
    </row>
    <row r="51" spans="1:14">
      <c r="A51" s="6">
        <v>42</v>
      </c>
      <c r="B51" s="6" t="s">
        <v>199</v>
      </c>
      <c r="C51" s="7" t="s">
        <v>219</v>
      </c>
      <c r="D51" s="6" t="s">
        <v>220</v>
      </c>
      <c r="E51" s="6" t="s">
        <v>201</v>
      </c>
      <c r="F51" s="7" t="s">
        <v>221</v>
      </c>
      <c r="G51" s="6" t="s">
        <v>222</v>
      </c>
      <c r="H51" s="6" t="s">
        <v>223</v>
      </c>
      <c r="I51" s="6">
        <v>0</v>
      </c>
      <c r="J51" s="6" t="s">
        <v>205</v>
      </c>
      <c r="K51" s="7" t="s">
        <v>156</v>
      </c>
      <c r="L51" s="7" t="s">
        <v>206</v>
      </c>
      <c r="M51" s="7" t="s"/>
      <c r="N51" s="7" t="s">
        <v>207</v>
      </c>
    </row>
    <row r="52" spans="1:14">
      <c r="A52" s="6">
        <v>43</v>
      </c>
      <c r="B52" s="6" t="s">
        <v>199</v>
      </c>
      <c r="C52" s="7" t="s">
        <v>224</v>
      </c>
      <c r="D52" s="6" t="s">
        <v>122</v>
      </c>
      <c r="E52" s="6" t="s">
        <v>201</v>
      </c>
      <c r="F52" s="7" t="s">
        <v>225</v>
      </c>
      <c r="G52" s="6" t="s">
        <v>226</v>
      </c>
      <c r="H52" s="6" t="s">
        <v>227</v>
      </c>
      <c r="I52" s="6">
        <v>0</v>
      </c>
      <c r="J52" s="6" t="s">
        <v>205</v>
      </c>
      <c r="K52" s="7" t="s">
        <v>156</v>
      </c>
      <c r="L52" s="7" t="s">
        <v>206</v>
      </c>
      <c r="M52" s="7" t="s"/>
      <c r="N52" s="7" t="s">
        <v>207</v>
      </c>
    </row>
    <row r="53" spans="1:14">
      <c r="A53" s="6">
        <v>44</v>
      </c>
      <c r="B53" s="6" t="s">
        <v>199</v>
      </c>
      <c r="C53" s="7" t="s">
        <v>228</v>
      </c>
      <c r="D53" s="6" t="s">
        <v>229</v>
      </c>
      <c r="E53" s="6" t="s">
        <v>201</v>
      </c>
      <c r="F53" s="7" t="s">
        <v>230</v>
      </c>
      <c r="G53" s="6" t="s">
        <v>231</v>
      </c>
      <c r="H53" s="6" t="s">
        <v>232</v>
      </c>
      <c r="I53" s="6">
        <v>0</v>
      </c>
      <c r="J53" s="6" t="s">
        <v>205</v>
      </c>
      <c r="K53" s="7" t="s">
        <v>156</v>
      </c>
      <c r="L53" s="7" t="s">
        <v>206</v>
      </c>
      <c r="M53" s="7" t="s"/>
      <c r="N53" s="7" t="s">
        <v>207</v>
      </c>
    </row>
    <row r="54" spans="1:14">
      <c r="A54" s="6">
        <v>45</v>
      </c>
      <c r="B54" s="6" t="s">
        <v>199</v>
      </c>
      <c r="C54" s="7" t="s">
        <v>233</v>
      </c>
      <c r="D54" s="6" t="s">
        <v>122</v>
      </c>
      <c r="E54" s="6" t="s">
        <v>201</v>
      </c>
      <c r="F54" s="7" t="s">
        <v>234</v>
      </c>
      <c r="G54" s="6" t="s">
        <v>235</v>
      </c>
      <c r="H54" s="6" t="s">
        <v>236</v>
      </c>
      <c r="I54" s="6">
        <v>0</v>
      </c>
      <c r="J54" s="6" t="s">
        <v>205</v>
      </c>
      <c r="K54" s="7" t="s">
        <v>156</v>
      </c>
      <c r="L54" s="7" t="s">
        <v>206</v>
      </c>
      <c r="M54" s="7" t="s"/>
      <c r="N54" s="7" t="s">
        <v>207</v>
      </c>
    </row>
    <row r="55" spans="1:14">
      <c r="A55" s="6">
        <v>46</v>
      </c>
      <c r="B55" s="6" t="s">
        <v>199</v>
      </c>
      <c r="C55" s="7" t="s">
        <v>237</v>
      </c>
      <c r="D55" s="6" t="s">
        <v>122</v>
      </c>
      <c r="E55" s="6" t="s">
        <v>201</v>
      </c>
      <c r="F55" s="7" t="s">
        <v>209</v>
      </c>
      <c r="G55" s="6" t="s">
        <v>235</v>
      </c>
      <c r="H55" s="6" t="s">
        <v>238</v>
      </c>
      <c r="I55" s="6">
        <v>0</v>
      </c>
      <c r="J55" s="6" t="s">
        <v>205</v>
      </c>
      <c r="K55" s="7" t="s">
        <v>156</v>
      </c>
      <c r="L55" s="7" t="s">
        <v>206</v>
      </c>
      <c r="M55" s="7" t="s"/>
      <c r="N55" s="7" t="s">
        <v>207</v>
      </c>
    </row>
    <row r="56" spans="1:14">
      <c r="A56" s="6">
        <v>47</v>
      </c>
      <c r="B56" s="6" t="s">
        <v>199</v>
      </c>
      <c r="C56" s="7" t="s">
        <v>239</v>
      </c>
      <c r="D56" s="6" t="s">
        <v>240</v>
      </c>
      <c r="E56" s="6" t="s">
        <v>201</v>
      </c>
      <c r="F56" s="7" t="s">
        <v>241</v>
      </c>
      <c r="G56" s="6" t="s">
        <v>242</v>
      </c>
      <c r="H56" s="6" t="s">
        <v>243</v>
      </c>
      <c r="I56" s="6">
        <v>0</v>
      </c>
      <c r="J56" s="6" t="s">
        <v>205</v>
      </c>
      <c r="K56" s="7" t="s">
        <v>156</v>
      </c>
      <c r="L56" s="7" t="s">
        <v>206</v>
      </c>
      <c r="M56" s="7" t="s"/>
      <c r="N56" s="7" t="s">
        <v>207</v>
      </c>
    </row>
    <row r="57" spans="1:14">
      <c r="A57" s="16" t="s"/>
      <c r="B57" s="17" t="s">
        <v>244</v>
      </c>
      <c r="C57" s="16" t="s"/>
      <c r="D57" s="16" t="s"/>
      <c r="E57" s="16" t="s"/>
      <c r="F57" s="16" t="s"/>
      <c r="G57" s="16" t="s"/>
      <c r="H57" s="16" t="s"/>
      <c r="I57" s="16" t="s"/>
      <c r="J57" s="16" t="s"/>
      <c r="K57" s="16" t="s"/>
      <c r="L57" s="16" t="s"/>
      <c r="M57" s="16" t="s"/>
      <c r="N57" s="16" t="s"/>
    </row>
    <row r="58" spans="1:14" ht="16.5">
      <c r="A58" s="14" t="s">
        <v>245</v>
      </c>
      <c r="B58" s="15" t="s"/>
      <c r="C58" s="15" t="s"/>
      <c r="D58" s="15" t="s"/>
      <c r="E58" s="15" t="s"/>
      <c r="F58" s="15" t="s"/>
      <c r="G58" s="15" t="s"/>
      <c r="H58" s="15" t="s"/>
      <c r="I58" s="15" t="s"/>
      <c r="J58" s="15" t="s"/>
      <c r="K58" s="15" t="s"/>
      <c r="L58" s="15" t="s"/>
      <c r="M58" s="15" t="s"/>
      <c r="N58" s="15" t="s"/>
    </row>
    <row r="59" spans="1:14">
      <c r="A59" s="6">
        <v>48</v>
      </c>
      <c r="B59" s="6" t="s">
        <v>246</v>
      </c>
      <c r="C59" s="7" t="s">
        <v>120</v>
      </c>
      <c r="D59" s="6" t="s">
        <v>121</v>
      </c>
      <c r="E59" s="6" t="s">
        <v>22</v>
      </c>
      <c r="F59" s="7" t="s">
        <v>247</v>
      </c>
      <c r="G59" s="6" t="s">
        <v>24</v>
      </c>
      <c r="H59" s="6" t="s">
        <v>49</v>
      </c>
      <c r="I59" s="6">
        <v>0</v>
      </c>
      <c r="J59" s="6" t="s">
        <v>26</v>
      </c>
      <c r="K59" s="7" t="s">
        <v>156</v>
      </c>
      <c r="L59" s="7" t="s">
        <v>124</v>
      </c>
      <c r="M59" s="7" t="s"/>
      <c r="N59" s="7" t="s">
        <v>248</v>
      </c>
    </row>
    <row r="60" spans="1:14">
      <c r="A60" s="6">
        <v>49</v>
      </c>
      <c r="B60" s="6" t="s">
        <v>246</v>
      </c>
      <c r="C60" s="7" t="s">
        <v>125</v>
      </c>
      <c r="D60" s="6" t="s">
        <v>121</v>
      </c>
      <c r="E60" s="6" t="s">
        <v>22</v>
      </c>
      <c r="F60" s="7" t="s">
        <v>247</v>
      </c>
      <c r="G60" s="6" t="s">
        <v>24</v>
      </c>
      <c r="H60" s="6" t="s">
        <v>49</v>
      </c>
      <c r="I60" s="6">
        <v>0</v>
      </c>
      <c r="J60" s="6" t="s">
        <v>26</v>
      </c>
      <c r="K60" s="7" t="s">
        <v>156</v>
      </c>
      <c r="L60" s="7" t="s">
        <v>124</v>
      </c>
      <c r="M60" s="7" t="s"/>
      <c r="N60" s="7" t="s">
        <v>248</v>
      </c>
    </row>
    <row r="61" spans="1:14">
      <c r="A61" s="6">
        <v>50</v>
      </c>
      <c r="B61" s="6" t="s">
        <v>246</v>
      </c>
      <c r="C61" s="7" t="s">
        <v>126</v>
      </c>
      <c r="D61" s="6" t="s">
        <v>121</v>
      </c>
      <c r="E61" s="6" t="s">
        <v>30</v>
      </c>
      <c r="F61" s="7" t="s">
        <v>247</v>
      </c>
      <c r="G61" s="6" t="s">
        <v>24</v>
      </c>
      <c r="H61" s="6" t="s">
        <v>41</v>
      </c>
      <c r="I61" s="6">
        <v>0</v>
      </c>
      <c r="J61" s="6" t="s">
        <v>26</v>
      </c>
      <c r="K61" s="7" t="s">
        <v>156</v>
      </c>
      <c r="L61" s="7" t="s">
        <v>124</v>
      </c>
      <c r="M61" s="7" t="s"/>
      <c r="N61" s="7" t="s">
        <v>248</v>
      </c>
    </row>
    <row r="62" spans="1:14">
      <c r="A62" s="6">
        <v>51</v>
      </c>
      <c r="B62" s="6" t="s">
        <v>246</v>
      </c>
      <c r="C62" s="7" t="s">
        <v>128</v>
      </c>
      <c r="D62" s="6" t="s">
        <v>129</v>
      </c>
      <c r="E62" s="6" t="s">
        <v>22</v>
      </c>
      <c r="F62" s="7" t="s">
        <v>247</v>
      </c>
      <c r="G62" s="6" t="s">
        <v>32</v>
      </c>
      <c r="H62" s="6" t="s">
        <v>41</v>
      </c>
      <c r="I62" s="6">
        <v>0</v>
      </c>
      <c r="J62" s="6" t="s">
        <v>26</v>
      </c>
      <c r="K62" s="7" t="s">
        <v>156</v>
      </c>
      <c r="L62" s="7" t="s">
        <v>124</v>
      </c>
      <c r="M62" s="7" t="s"/>
      <c r="N62" s="7" t="s">
        <v>248</v>
      </c>
    </row>
    <row r="63" spans="1:14">
      <c r="A63" s="6">
        <v>52</v>
      </c>
      <c r="B63" s="6" t="s">
        <v>246</v>
      </c>
      <c r="C63" s="7" t="s">
        <v>131</v>
      </c>
      <c r="D63" s="6" t="s">
        <v>129</v>
      </c>
      <c r="E63" s="6" t="s">
        <v>30</v>
      </c>
      <c r="F63" s="7" t="s">
        <v>247</v>
      </c>
      <c r="G63" s="6" t="s">
        <v>32</v>
      </c>
      <c r="H63" s="6" t="s">
        <v>25</v>
      </c>
      <c r="I63" s="6">
        <v>0</v>
      </c>
      <c r="J63" s="6" t="s">
        <v>26</v>
      </c>
      <c r="K63" s="7" t="s">
        <v>156</v>
      </c>
      <c r="L63" s="7" t="s">
        <v>124</v>
      </c>
      <c r="M63" s="7" t="s"/>
      <c r="N63" s="7" t="s">
        <v>248</v>
      </c>
    </row>
    <row r="64" spans="1:14">
      <c r="A64" s="6">
        <v>53</v>
      </c>
      <c r="B64" s="6" t="s">
        <v>246</v>
      </c>
      <c r="C64" s="7" t="s">
        <v>133</v>
      </c>
      <c r="D64" s="6" t="s">
        <v>121</v>
      </c>
      <c r="E64" s="6" t="s">
        <v>30</v>
      </c>
      <c r="F64" s="7" t="s">
        <v>247</v>
      </c>
      <c r="G64" s="6" t="s">
        <v>36</v>
      </c>
      <c r="H64" s="6" t="s">
        <v>33</v>
      </c>
      <c r="I64" s="6">
        <v>0</v>
      </c>
      <c r="J64" s="6" t="s">
        <v>26</v>
      </c>
      <c r="K64" s="7" t="s">
        <v>156</v>
      </c>
      <c r="L64" s="7" t="s">
        <v>124</v>
      </c>
      <c r="M64" s="7" t="s"/>
      <c r="N64" s="7" t="s">
        <v>248</v>
      </c>
    </row>
    <row r="65" spans="1:14">
      <c r="A65" s="6">
        <v>54</v>
      </c>
      <c r="B65" s="6" t="s">
        <v>246</v>
      </c>
      <c r="C65" s="7" t="s">
        <v>135</v>
      </c>
      <c r="D65" s="6" t="s">
        <v>136</v>
      </c>
      <c r="E65" s="6" t="s">
        <v>22</v>
      </c>
      <c r="F65" s="7" t="s">
        <v>247</v>
      </c>
      <c r="G65" s="6" t="s">
        <v>32</v>
      </c>
      <c r="H65" s="6" t="s">
        <v>33</v>
      </c>
      <c r="I65" s="6">
        <v>0</v>
      </c>
      <c r="J65" s="6" t="s">
        <v>26</v>
      </c>
      <c r="K65" s="7" t="s">
        <v>156</v>
      </c>
      <c r="L65" s="7" t="s">
        <v>124</v>
      </c>
      <c r="M65" s="7" t="s"/>
      <c r="N65" s="7" t="s">
        <v>248</v>
      </c>
    </row>
    <row r="66" spans="1:14">
      <c r="A66" s="6">
        <v>55</v>
      </c>
      <c r="B66" s="6" t="s">
        <v>246</v>
      </c>
      <c r="C66" s="7" t="s">
        <v>139</v>
      </c>
      <c r="D66" s="6" t="s">
        <v>59</v>
      </c>
      <c r="E66" s="6" t="s">
        <v>22</v>
      </c>
      <c r="F66" s="7" t="s">
        <v>247</v>
      </c>
      <c r="G66" s="6" t="s">
        <v>32</v>
      </c>
      <c r="H66" s="6" t="s">
        <v>37</v>
      </c>
      <c r="I66" s="6">
        <v>0</v>
      </c>
      <c r="J66" s="6" t="s">
        <v>26</v>
      </c>
      <c r="K66" s="7" t="s">
        <v>156</v>
      </c>
      <c r="L66" s="7" t="s">
        <v>124</v>
      </c>
      <c r="M66" s="7" t="s"/>
      <c r="N66" s="7" t="s">
        <v>248</v>
      </c>
    </row>
    <row r="67" spans="1:14">
      <c r="A67" s="6">
        <v>56</v>
      </c>
      <c r="B67" s="6" t="s">
        <v>246</v>
      </c>
      <c r="C67" s="7" t="s">
        <v>141</v>
      </c>
      <c r="D67" s="6" t="s">
        <v>142</v>
      </c>
      <c r="E67" s="6" t="s">
        <v>22</v>
      </c>
      <c r="F67" s="7" t="s">
        <v>247</v>
      </c>
      <c r="G67" s="6" t="s">
        <v>24</v>
      </c>
      <c r="H67" s="6" t="s">
        <v>50</v>
      </c>
      <c r="I67" s="6">
        <v>0</v>
      </c>
      <c r="J67" s="6" t="s">
        <v>26</v>
      </c>
      <c r="K67" s="7" t="s">
        <v>156</v>
      </c>
      <c r="L67" s="7" t="s">
        <v>124</v>
      </c>
      <c r="M67" s="7" t="s"/>
      <c r="N67" s="7" t="s">
        <v>248</v>
      </c>
    </row>
    <row r="68" spans="1:14">
      <c r="A68" s="16" t="s"/>
      <c r="B68" s="17" t="s">
        <v>249</v>
      </c>
      <c r="C68" s="16" t="s"/>
      <c r="D68" s="16" t="s"/>
      <c r="E68" s="16" t="s"/>
      <c r="F68" s="16" t="s"/>
      <c r="G68" s="16" t="s"/>
      <c r="H68" s="16" t="s"/>
      <c r="I68" s="16" t="s"/>
      <c r="J68" s="16" t="s"/>
      <c r="K68" s="16" t="s"/>
      <c r="L68" s="16" t="s"/>
      <c r="M68" s="16" t="s"/>
      <c r="N68" s="16" t="s"/>
    </row>
    <row r="69" spans="1:14" ht="16.5">
      <c r="A69" s="14" t="s">
        <v>250</v>
      </c>
      <c r="B69" s="15" t="s"/>
      <c r="C69" s="15" t="s"/>
      <c r="D69" s="15" t="s"/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</row>
    <row r="70" spans="1:14">
      <c r="A70" s="6">
        <v>57</v>
      </c>
      <c r="B70" s="6" t="s">
        <v>251</v>
      </c>
      <c r="C70" s="7" t="s">
        <v>252</v>
      </c>
      <c r="D70" s="6" t="s">
        <v>253</v>
      </c>
      <c r="E70" s="6" t="s">
        <v>201</v>
      </c>
      <c r="F70" s="7" t="s">
        <v>254</v>
      </c>
      <c r="G70" s="6" t="s">
        <v>32</v>
      </c>
      <c r="H70" s="6" t="s">
        <v>49</v>
      </c>
      <c r="I70" s="6">
        <v>0</v>
      </c>
      <c r="J70" s="6" t="s">
        <v>26</v>
      </c>
      <c r="K70" s="7" t="s">
        <v>156</v>
      </c>
      <c r="L70" s="7" t="s">
        <v>255</v>
      </c>
      <c r="M70" s="7" t="s"/>
      <c r="N70" s="7" t="s">
        <v>256</v>
      </c>
    </row>
    <row r="71" spans="1:14">
      <c r="A71" s="6">
        <v>58</v>
      </c>
      <c r="B71" s="6" t="s">
        <v>251</v>
      </c>
      <c r="C71" s="7" t="s">
        <v>257</v>
      </c>
      <c r="D71" s="6" t="s">
        <v>258</v>
      </c>
      <c r="E71" s="6" t="s">
        <v>201</v>
      </c>
      <c r="F71" s="7" t="s">
        <v>254</v>
      </c>
      <c r="G71" s="6" t="s">
        <v>79</v>
      </c>
      <c r="H71" s="6" t="s">
        <v>33</v>
      </c>
      <c r="I71" s="6">
        <v>0</v>
      </c>
      <c r="J71" s="6" t="s">
        <v>26</v>
      </c>
      <c r="K71" s="7" t="s">
        <v>156</v>
      </c>
      <c r="L71" s="7" t="s">
        <v>255</v>
      </c>
      <c r="M71" s="7" t="s"/>
      <c r="N71" s="7" t="s">
        <v>256</v>
      </c>
    </row>
    <row r="72" spans="1:14">
      <c r="A72" s="6">
        <v>59</v>
      </c>
      <c r="B72" s="6" t="s">
        <v>251</v>
      </c>
      <c r="C72" s="7" t="s">
        <v>259</v>
      </c>
      <c r="D72" s="6" t="s">
        <v>260</v>
      </c>
      <c r="E72" s="6" t="s">
        <v>201</v>
      </c>
      <c r="F72" s="7" t="s">
        <v>254</v>
      </c>
      <c r="G72" s="6" t="s">
        <v>41</v>
      </c>
      <c r="H72" s="6" t="s">
        <v>37</v>
      </c>
      <c r="I72" s="6">
        <v>0</v>
      </c>
      <c r="J72" s="6" t="s">
        <v>26</v>
      </c>
      <c r="K72" s="7" t="s">
        <v>156</v>
      </c>
      <c r="L72" s="7" t="s">
        <v>255</v>
      </c>
      <c r="M72" s="7" t="s"/>
      <c r="N72" s="7" t="s">
        <v>256</v>
      </c>
    </row>
    <row r="73" spans="1:14">
      <c r="A73" s="6">
        <v>60</v>
      </c>
      <c r="B73" s="6" t="s">
        <v>251</v>
      </c>
      <c r="C73" s="7" t="s">
        <v>261</v>
      </c>
      <c r="D73" s="6" t="s">
        <v>262</v>
      </c>
      <c r="E73" s="6" t="s">
        <v>201</v>
      </c>
      <c r="F73" s="7" t="s">
        <v>254</v>
      </c>
      <c r="G73" s="6" t="s">
        <v>32</v>
      </c>
      <c r="H73" s="6" t="s">
        <v>25</v>
      </c>
      <c r="I73" s="6">
        <v>0</v>
      </c>
      <c r="J73" s="6" t="s">
        <v>26</v>
      </c>
      <c r="K73" s="7" t="s">
        <v>156</v>
      </c>
      <c r="L73" s="7" t="s">
        <v>255</v>
      </c>
      <c r="M73" s="7" t="s"/>
      <c r="N73" s="7" t="s">
        <v>256</v>
      </c>
    </row>
    <row r="74" spans="1:14" ht="28.5">
      <c r="A74" s="6">
        <v>61</v>
      </c>
      <c r="B74" s="6" t="s">
        <v>251</v>
      </c>
      <c r="C74" s="7" t="s">
        <v>263</v>
      </c>
      <c r="D74" s="6" t="s">
        <v>264</v>
      </c>
      <c r="E74" s="6" t="s">
        <v>201</v>
      </c>
      <c r="F74" s="7" t="s">
        <v>254</v>
      </c>
      <c r="G74" s="6" t="s">
        <v>36</v>
      </c>
      <c r="H74" s="6" t="s">
        <v>33</v>
      </c>
      <c r="I74" s="6">
        <v>0</v>
      </c>
      <c r="J74" s="6" t="s">
        <v>26</v>
      </c>
      <c r="K74" s="7" t="s">
        <v>156</v>
      </c>
      <c r="L74" s="7" t="s">
        <v>255</v>
      </c>
      <c r="M74" s="7" t="s"/>
      <c r="N74" s="7" t="s">
        <v>256</v>
      </c>
    </row>
    <row r="75" spans="1:14">
      <c r="A75" s="6">
        <v>62</v>
      </c>
      <c r="B75" s="6" t="s">
        <v>251</v>
      </c>
      <c r="C75" s="7" t="s">
        <v>265</v>
      </c>
      <c r="D75" s="6" t="s">
        <v>266</v>
      </c>
      <c r="E75" s="6" t="s">
        <v>201</v>
      </c>
      <c r="F75" s="7" t="s">
        <v>254</v>
      </c>
      <c r="G75" s="6" t="s">
        <v>79</v>
      </c>
      <c r="H75" s="6" t="s">
        <v>37</v>
      </c>
      <c r="I75" s="6">
        <v>0</v>
      </c>
      <c r="J75" s="6" t="s">
        <v>26</v>
      </c>
      <c r="K75" s="7" t="s">
        <v>156</v>
      </c>
      <c r="L75" s="7" t="s">
        <v>255</v>
      </c>
      <c r="M75" s="7" t="s"/>
      <c r="N75" s="7" t="s">
        <v>256</v>
      </c>
    </row>
    <row r="76" spans="1:14" ht="28.5">
      <c r="A76" s="6">
        <v>63</v>
      </c>
      <c r="B76" s="6" t="s">
        <v>251</v>
      </c>
      <c r="C76" s="7" t="s">
        <v>267</v>
      </c>
      <c r="D76" s="6" t="s">
        <v>268</v>
      </c>
      <c r="E76" s="6" t="s">
        <v>201</v>
      </c>
      <c r="F76" s="7" t="s">
        <v>254</v>
      </c>
      <c r="G76" s="6" t="s">
        <v>24</v>
      </c>
      <c r="H76" s="6" t="s">
        <v>36</v>
      </c>
      <c r="I76" s="6">
        <v>0</v>
      </c>
      <c r="J76" s="6" t="s">
        <v>26</v>
      </c>
      <c r="K76" s="7" t="s">
        <v>156</v>
      </c>
      <c r="L76" s="7" t="s">
        <v>255</v>
      </c>
      <c r="M76" s="7" t="s"/>
      <c r="N76" s="7" t="s">
        <v>256</v>
      </c>
    </row>
    <row r="77" spans="1:14">
      <c r="A77" s="6">
        <v>64</v>
      </c>
      <c r="B77" s="6" t="s">
        <v>251</v>
      </c>
      <c r="C77" s="7" t="s">
        <v>269</v>
      </c>
      <c r="D77" s="6" t="s">
        <v>270</v>
      </c>
      <c r="E77" s="6" t="s">
        <v>201</v>
      </c>
      <c r="F77" s="7" t="s">
        <v>254</v>
      </c>
      <c r="G77" s="6" t="s">
        <v>187</v>
      </c>
      <c r="H77" s="6" t="s">
        <v>50</v>
      </c>
      <c r="I77" s="6">
        <v>0</v>
      </c>
      <c r="J77" s="6" t="s">
        <v>26</v>
      </c>
      <c r="K77" s="7" t="s">
        <v>156</v>
      </c>
      <c r="L77" s="7" t="s">
        <v>255</v>
      </c>
      <c r="M77" s="7" t="s"/>
      <c r="N77" s="7" t="s">
        <v>256</v>
      </c>
    </row>
    <row r="78" spans="1:14">
      <c r="A78" s="16" t="s"/>
      <c r="B78" s="17" t="s">
        <v>271</v>
      </c>
      <c r="C78" s="16" t="s"/>
      <c r="D78" s="16" t="s"/>
      <c r="E78" s="16" t="s"/>
      <c r="F78" s="16" t="s"/>
      <c r="G78" s="16" t="s"/>
      <c r="H78" s="16" t="s"/>
      <c r="I78" s="16" t="s"/>
      <c r="J78" s="16" t="s"/>
      <c r="K78" s="16" t="s"/>
      <c r="L78" s="16" t="s"/>
      <c r="M78" s="16" t="s"/>
      <c r="N78" s="16" t="s"/>
    </row>
    <row r="79" spans="1:14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</row>
    <row r="80" spans="1:14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</row>
    <row r="81" spans="1:14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</row>
    <row r="82" spans="1:14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</row>
    <row r="83" spans="1:14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</row>
    <row r="84" spans="1:14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</row>
    <row r="85" spans="1:14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</row>
    <row r="86" spans="1:14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</row>
    <row r="87" spans="1:14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</row>
    <row r="88" spans="1:14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</row>
    <row r="89" spans="1:14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</row>
    <row r="90" spans="1:14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</row>
    <row r="91" spans="1:14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</row>
    <row r="92" spans="1:14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</row>
    <row r="93" spans="1:14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</row>
    <row r="94" spans="1:14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</row>
    <row r="95" spans="1:14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</row>
    <row r="96" spans="1:14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</row>
    <row r="97" spans="1:14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</row>
    <row r="98" spans="1:14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</row>
    <row r="99" spans="1:14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</row>
    <row r="100" spans="1:14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</row>
    <row r="101" spans="1:14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</row>
    <row r="102" spans="1:14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</row>
    <row r="103" spans="1:14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</row>
    <row r="104" spans="1:14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</row>
    <row r="105" spans="1:14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</row>
    <row r="106" spans="1:14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</row>
    <row r="107" spans="1:14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</row>
    <row r="108" spans="1:14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</row>
    <row r="109" spans="1:14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</row>
    <row r="110" spans="1:14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</row>
    <row r="111" spans="1:14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</row>
    <row r="112" spans="1:14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</row>
    <row r="113" spans="1:14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</row>
    <row r="114" spans="1:14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</row>
    <row r="115" spans="1:14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</row>
    <row r="116" spans="1:14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</row>
    <row r="117" spans="1:14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</row>
    <row r="118" spans="1:14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</row>
    <row r="119" spans="1:14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</row>
    <row r="120" spans="1:14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</row>
    <row r="121" spans="1:14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</row>
    <row r="122" spans="1:14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</row>
    <row r="123" spans="1:14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</row>
    <row r="124" spans="1:14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</row>
    <row r="125" spans="1:14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</row>
    <row r="126" spans="1:14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</row>
    <row r="127" spans="1:14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</row>
    <row r="128" spans="1:14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</row>
    <row r="129" spans="1:14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</row>
    <row r="130" spans="1:14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</row>
    <row r="131" spans="1:14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</row>
    <row r="132" spans="1:14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</row>
    <row r="133" spans="1:14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</row>
    <row r="134" spans="1:14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</row>
    <row r="135" spans="1:14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</row>
    <row r="136" spans="1:14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</row>
    <row r="137" spans="1:14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</row>
    <row r="138" spans="1:14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</row>
    <row r="139" spans="1:14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</row>
    <row r="140" spans="1:14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</row>
    <row r="141" spans="1:14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</row>
    <row r="142" spans="1:14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</row>
    <row r="143" spans="1:14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</row>
    <row r="144" spans="1:14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</row>
    <row r="145" spans="1:14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</row>
    <row r="146" spans="1:14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</row>
    <row r="147" spans="1:14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</row>
    <row r="148" spans="1:14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</row>
    <row r="149" spans="1:14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</row>
    <row r="150" spans="1:14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</row>
    <row r="151" spans="1:14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</row>
    <row r="152" spans="1:14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</row>
    <row r="153" spans="1:14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</row>
    <row r="154" spans="1:14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</row>
    <row r="155" spans="1:14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</row>
    <row r="156" spans="1:14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</row>
    <row r="157" spans="1:14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</row>
    <row r="158" spans="1:14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</row>
    <row r="159" spans="1:14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</row>
    <row r="160" spans="1:14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</row>
    <row r="161" spans="1:14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</row>
    <row r="162" spans="1:14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</row>
    <row r="163" spans="1:14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</row>
    <row r="164" spans="1:14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</row>
    <row r="165" spans="1:14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</row>
    <row r="166" spans="1:14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</row>
    <row r="167" spans="1:14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</row>
    <row r="168" spans="1:14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</row>
    <row r="169" spans="1:14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</row>
    <row r="170" spans="1:14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</row>
    <row r="171" spans="1:14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</row>
    <row r="172" spans="1:14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</row>
    <row r="173" spans="1:14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</row>
    <row r="174" spans="1:14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</row>
    <row r="175" spans="1:14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</row>
    <row r="176" spans="1:14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</row>
    <row r="177" spans="1:14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</row>
    <row r="178" spans="1:14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</row>
    <row r="179" spans="1:14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</row>
    <row r="180" spans="1:14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</row>
    <row r="181" spans="1:14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</row>
    <row r="182" spans="1:14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</row>
    <row r="183" spans="1:14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</row>
    <row r="184" spans="1:14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</row>
    <row r="185" spans="1:14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</row>
    <row r="186" spans="1:14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</row>
    <row r="187" spans="1:14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</row>
    <row r="188" spans="1:14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</row>
    <row r="189" spans="1:14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</row>
    <row r="190" spans="1:14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</row>
    <row r="191" spans="1:14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</row>
    <row r="192" spans="1:14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</row>
    <row r="193" spans="1:14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</row>
    <row r="194" spans="1:14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</row>
    <row r="195" spans="1:14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</row>
    <row r="196" spans="1:14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</row>
    <row r="197" spans="1:14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</row>
    <row r="198" spans="1:14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</row>
    <row r="199" spans="1:14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</row>
    <row r="200" spans="1:14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</row>
  </sheetData>
  <mergeCells count="13">
    <mergeCell ref="A1:N1"/>
    <mergeCell ref="A3:N3"/>
    <mergeCell ref="B16:E16"/>
    <mergeCell ref="A17:N17"/>
    <mergeCell ref="B29:E29"/>
    <mergeCell ref="A30:N30"/>
    <mergeCell ref="B45:E45"/>
    <mergeCell ref="A46:N46"/>
    <mergeCell ref="B57:E57"/>
    <mergeCell ref="A58:N58"/>
    <mergeCell ref="B68:E68"/>
    <mergeCell ref="A69:N69"/>
    <mergeCell ref="B78:E7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>
    <outlinePr summaryBelow="0" summaryRight="0"/>
  </sheetPr>
  <dimension ref="H200"/>
  <sheetViews>
    <sheetView showGridLines="0" workbookViewId="0">
      <pane ySplit="1" topLeftCell="A2" activePane="bottomLeft" state="frozen"/>
    </sheetView>
  </sheetViews>
  <sheetFormatPr defaultColWidth="8" defaultRowHeight="14.25"/>
  <cols>
    <col min="1" max="1" width="12" customWidth="1"/>
    <col min="2" max="2" width="22" customWidth="1"/>
    <col min="3" max="3" width="12" customWidth="1"/>
    <col min="4" max="4" width="16" customWidth="1"/>
    <col min="5" max="6" width="10" customWidth="1"/>
    <col min="7" max="7" width="20" customWidth="1"/>
    <col min="8" max="8" width="22" customWidth="1"/>
  </cols>
  <sheetData>
    <row r="1" spans="1:20" ht="28" customHeight="1">
      <c r="A1" s="4" t="s">
        <v>314</v>
      </c>
      <c r="B1" s="4" t="s">
        <v>315</v>
      </c>
      <c r="C1" s="4" t="s">
        <v>316</v>
      </c>
      <c r="D1" s="4" t="s">
        <v>317</v>
      </c>
      <c r="E1" s="4" t="s">
        <v>318</v>
      </c>
      <c r="F1" s="4" t="s">
        <v>13</v>
      </c>
      <c r="G1" s="4" t="s">
        <v>153</v>
      </c>
      <c r="H1" s="4" t="s">
        <v>16</v>
      </c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</row>
    <row r="2" spans="1:8">
      <c r="A2" s="6" t="s">
        <v>155</v>
      </c>
      <c r="B2" s="7" t="s">
        <v>319</v>
      </c>
      <c r="C2" s="6">
        <v>10</v>
      </c>
      <c r="D2" s="18">
        <f>=COUNTIF(政府关系建立!P:P,"跟进中")+COUNTIF(政府关系建立!P:P,"深度合作")+COUNTIF(政府关系建立!P:P,"已完成")</f>
        <v>0</v>
      </c>
      <c r="E2" s="8">
        <f>=IF(OR(C2="",D2=""),"",IF(ISNUMBER(C2),D2/C2,""))</f>
        <v>0</v>
      </c>
      <c r="F2" s="6" t="s">
        <f>=IF(E2="","待启动",IF(E2&gt;=1,"已完成",IF(E2&gt;=0.5,"进行中","推进中")))</f>
        <v>320</v>
      </c>
      <c r="G2" s="7" t="s">
        <v>157</v>
      </c>
      <c r="H2" s="7" t="s">
        <v>321</v>
      </c>
    </row>
    <row r="3" spans="1:8">
      <c r="A3" s="6" t="s">
        <v>155</v>
      </c>
      <c r="B3" s="7" t="s">
        <v>322</v>
      </c>
      <c r="C3" s="6">
        <v>12</v>
      </c>
      <c r="D3" s="18">
        <f>=COUNTA(政府关系建立!C2:C199)</f>
        <v>12</v>
      </c>
      <c r="E3" s="8">
        <f>=IF(OR(C3="",D3=""),"",IF(ISNUMBER(C3),D3/C3,""))</f>
        <v>1</v>
      </c>
      <c r="F3" s="6" t="s">
        <f>=IF(E3="","待启动",IF(E3&gt;=1,"已完成",IF(E3&gt;=0.5,"进行中","推进中")))</f>
        <v>323</v>
      </c>
      <c r="G3" s="7" t="s">
        <v>157</v>
      </c>
      <c r="H3" s="7" t="s">
        <v>324</v>
      </c>
    </row>
    <row r="4" spans="1:8">
      <c r="A4" s="6" t="s">
        <v>160</v>
      </c>
      <c r="B4" s="7" t="s">
        <v>325</v>
      </c>
      <c r="C4" s="6">
        <v>5</v>
      </c>
      <c r="D4" s="18">
        <f>=COUNTIF(行业资源开发!M:M,"跟进中")+COUNTIF(行业资源开发!M:M,"深度合作")+COUNTIF(行业资源开发!M:M,"已完成")</f>
        <v>0</v>
      </c>
      <c r="E4" s="8">
        <f>=IF(OR(C4="",D4=""),"",IF(ISNUMBER(C4),D4/C4,""))</f>
        <v>0</v>
      </c>
      <c r="F4" s="6" t="s">
        <f>=IF(E4="","待启动",IF(E4&gt;=1,"已完成",IF(E4&gt;=0.5,"进行中","推进中")))</f>
        <v>320</v>
      </c>
      <c r="G4" s="7" t="s">
        <v>161</v>
      </c>
      <c r="H4" s="7" t="s">
        <v>326</v>
      </c>
    </row>
    <row r="5" spans="1:8">
      <c r="A5" s="6" t="s">
        <v>164</v>
      </c>
      <c r="B5" s="7" t="s">
        <v>327</v>
      </c>
      <c r="C5" s="6">
        <v>15</v>
      </c>
      <c r="D5" s="18">
        <f>=COUNTIF(媒体品牌传播!N:N,"已发布")</f>
        <v>0</v>
      </c>
      <c r="E5" s="8">
        <f>=IF(OR(C5="",D5=""),"",IF(ISNUMBER(C5),D5/C5,""))</f>
        <v>0</v>
      </c>
      <c r="F5" s="6" t="s">
        <f>=IF(E5="","待启动",IF(E5&gt;=1,"已完成",IF(E5&gt;=0.5,"进行中","推进中")))</f>
        <v>320</v>
      </c>
      <c r="G5" s="7" t="s">
        <v>169</v>
      </c>
      <c r="H5" s="7" t="s">
        <v>328</v>
      </c>
    </row>
    <row r="6" spans="1:8">
      <c r="A6" s="6" t="s">
        <v>199</v>
      </c>
      <c r="B6" s="7" t="s">
        <v>329</v>
      </c>
      <c r="C6" s="6">
        <v>8</v>
      </c>
      <c r="D6" s="18">
        <f>=COUNTIF(活动执行管理!L:L,"已完成")</f>
        <v>0</v>
      </c>
      <c r="E6" s="8">
        <f>=IF(OR(C6="",D6=""),"",IF(ISNUMBER(C6),D6/C6,""))</f>
        <v>0</v>
      </c>
      <c r="F6" s="6" t="s">
        <f>=IF(E6="","待启动",IF(E6&gt;=1,"已完成",IF(E6&gt;=0.5,"进行中","推进中")))</f>
        <v>320</v>
      </c>
      <c r="G6" s="7" t="s">
        <v>207</v>
      </c>
      <c r="H6" s="7" t="s">
        <v>330</v>
      </c>
    </row>
    <row r="7" spans="1:8">
      <c r="A7" s="6" t="s">
        <v>199</v>
      </c>
      <c r="B7" s="7" t="s">
        <v>331</v>
      </c>
      <c r="C7" s="6">
        <v>10</v>
      </c>
      <c r="D7" s="18">
        <f>=COUNTA(活动执行管理!B2:B199)</f>
        <v>10</v>
      </c>
      <c r="E7" s="8">
        <f>=IF(OR(C7="",D7=""),"",IF(ISNUMBER(C7),D7/C7,""))</f>
        <v>1</v>
      </c>
      <c r="F7" s="6" t="s">
        <f>=IF(E7="","待启动",IF(E7&gt;=1,"已完成",IF(E7&gt;=0.5,"进行中","推进中")))</f>
        <v>323</v>
      </c>
      <c r="G7" s="7" t="s">
        <v>207</v>
      </c>
      <c r="H7" s="7" t="s">
        <v>332</v>
      </c>
    </row>
    <row r="8" spans="1:8">
      <c r="A8" s="6" t="s">
        <v>246</v>
      </c>
      <c r="B8" s="7" t="s">
        <v>333</v>
      </c>
      <c r="C8" s="6">
        <v>5</v>
      </c>
      <c r="D8" s="18">
        <f>=COUNTIF(客户线索转化!Q:Q,"已成交")</f>
        <v>0</v>
      </c>
      <c r="E8" s="8">
        <f>=IF(OR(C8="",D8=""),"",IF(ISNUMBER(C8),D8/C8,""))</f>
        <v>0</v>
      </c>
      <c r="F8" s="6" t="s">
        <f>=IF(E8="","待启动",IF(E8&gt;=1,"已完成",IF(E8&gt;=0.5,"进行中","推进中")))</f>
        <v>320</v>
      </c>
      <c r="G8" s="7" t="s">
        <v>248</v>
      </c>
      <c r="H8" s="7" t="s">
        <v>334</v>
      </c>
    </row>
    <row r="9" spans="1:8">
      <c r="A9" s="6" t="s">
        <v>246</v>
      </c>
      <c r="B9" s="7" t="s">
        <v>335</v>
      </c>
      <c r="C9" s="6">
        <v>9</v>
      </c>
      <c r="D9" s="18">
        <f>=COUNTA(客户线索转化!B3:B197)</f>
        <v>9</v>
      </c>
      <c r="E9" s="8">
        <f>=IF(OR(C9="",D9=""),"",IF(ISNUMBER(C9),D9/C9,""))</f>
        <v>1</v>
      </c>
      <c r="F9" s="6" t="s">
        <f>=IF(E9="","待启动",IF(E9&gt;=1,"已完成",IF(E9&gt;=0.5,"进行中","推进中")))</f>
        <v>323</v>
      </c>
      <c r="G9" s="7" t="s">
        <v>248</v>
      </c>
      <c r="H9" s="7" t="s">
        <v>324</v>
      </c>
    </row>
    <row r="10" spans="1:8">
      <c r="A10" s="6" t="s">
        <v>336</v>
      </c>
      <c r="B10" s="7" t="s">
        <v>337</v>
      </c>
      <c r="C10" s="6">
        <v>2</v>
      </c>
      <c r="D10" s="18">
        <f>=COUNTIF(政策项目申报!N:N,"已立项")+COUNTIF(政策项目申报!N:N,"已拨款")</f>
        <v>0</v>
      </c>
      <c r="E10" s="8">
        <f>=IF(OR(C10="",D10=""),"",IF(ISNUMBER(C10),D10/C10,""))</f>
        <v>0</v>
      </c>
      <c r="F10" s="6" t="s">
        <f>=IF(E10="","待启动",IF(E10&gt;=1,"已完成",IF(E10&gt;=0.5,"进行中","推进中")))</f>
        <v>320</v>
      </c>
      <c r="G10" s="7" t="s">
        <v>256</v>
      </c>
      <c r="H10" s="7" t="s">
        <v>338</v>
      </c>
    </row>
    <row r="11" spans="1:8">
      <c r="A11" s="6" t="s">
        <v>336</v>
      </c>
      <c r="B11" s="7" t="s">
        <v>339</v>
      </c>
      <c r="C11" s="6">
        <v>6</v>
      </c>
      <c r="D11" s="18">
        <f>=COUNTA(政策项目申报!B2:B200)</f>
        <v>8</v>
      </c>
      <c r="E11" s="8">
        <f>=IF(OR(C11="",D11=""),"",IF(ISNUMBER(C11),D11/C11,""))</f>
        <v>1.33333333333333</v>
      </c>
      <c r="F11" s="6" t="s">
        <f>=IF(E11="","待启动",IF(E11&gt;=1,"已完成",IF(E11&gt;=0.5,"进行中","推进中")))</f>
        <v>323</v>
      </c>
      <c r="G11" s="7" t="s">
        <v>256</v>
      </c>
      <c r="H11" s="7" t="s">
        <v>340</v>
      </c>
    </row>
    <row r="12" spans="1:8">
      <c r="A12" s="5" t="s"/>
      <c r="B12" s="5" t="s"/>
      <c r="C12" s="5" t="s"/>
      <c r="D12" s="5" t="s"/>
      <c r="E12" s="5" t="s"/>
      <c r="F12" s="5" t="s"/>
      <c r="G12" s="5" t="s"/>
      <c r="H12" s="5" t="s"/>
    </row>
    <row r="13" spans="1:8">
      <c r="A13" s="5" t="s"/>
      <c r="B13" s="5" t="s"/>
      <c r="C13" s="5" t="s"/>
      <c r="D13" s="5" t="s"/>
      <c r="E13" s="5" t="s"/>
      <c r="F13" s="5" t="s"/>
      <c r="G13" s="5" t="s"/>
      <c r="H13" s="5" t="s"/>
    </row>
    <row r="14" spans="1:8">
      <c r="A14" s="5" t="s"/>
      <c r="B14" s="5" t="s"/>
      <c r="C14" s="5" t="s"/>
      <c r="D14" s="5" t="s"/>
      <c r="E14" s="5" t="s"/>
      <c r="F14" s="5" t="s"/>
      <c r="G14" s="5" t="s"/>
      <c r="H14" s="5" t="s"/>
    </row>
    <row r="15" spans="1:8">
      <c r="A15" s="5" t="s"/>
      <c r="B15" s="5" t="s"/>
      <c r="C15" s="5" t="s"/>
      <c r="D15" s="5" t="s"/>
      <c r="E15" s="5" t="s"/>
      <c r="F15" s="5" t="s"/>
      <c r="G15" s="5" t="s"/>
      <c r="H15" s="5" t="s"/>
    </row>
    <row r="16" spans="1:8">
      <c r="A16" s="5" t="s"/>
      <c r="B16" s="5" t="s"/>
      <c r="C16" s="5" t="s"/>
      <c r="D16" s="5" t="s"/>
      <c r="E16" s="5" t="s"/>
      <c r="F16" s="5" t="s"/>
      <c r="G16" s="5" t="s"/>
      <c r="H16" s="5" t="s"/>
    </row>
    <row r="17" spans="1:8">
      <c r="A17" s="5" t="s"/>
      <c r="B17" s="5" t="s"/>
      <c r="C17" s="5" t="s"/>
      <c r="D17" s="5" t="s"/>
      <c r="E17" s="5" t="s"/>
      <c r="F17" s="5" t="s"/>
      <c r="G17" s="5" t="s"/>
      <c r="H17" s="5" t="s"/>
    </row>
    <row r="18" spans="1:8">
      <c r="A18" s="5" t="s"/>
      <c r="B18" s="5" t="s"/>
      <c r="C18" s="5" t="s"/>
      <c r="D18" s="5" t="s"/>
      <c r="E18" s="5" t="s"/>
      <c r="F18" s="5" t="s"/>
      <c r="G18" s="5" t="s"/>
      <c r="H18" s="5" t="s"/>
    </row>
    <row r="19" spans="1:8">
      <c r="A19" s="5" t="s"/>
      <c r="B19" s="5" t="s"/>
      <c r="C19" s="5" t="s"/>
      <c r="D19" s="5" t="s"/>
      <c r="E19" s="5" t="s"/>
      <c r="F19" s="5" t="s"/>
      <c r="G19" s="5" t="s"/>
      <c r="H19" s="5" t="s"/>
    </row>
    <row r="20" spans="1:8">
      <c r="A20" s="5" t="s"/>
      <c r="B20" s="5" t="s"/>
      <c r="C20" s="5" t="s"/>
      <c r="D20" s="5" t="s"/>
      <c r="E20" s="5" t="s"/>
      <c r="F20" s="5" t="s"/>
      <c r="G20" s="5" t="s"/>
      <c r="H20" s="5" t="s"/>
    </row>
    <row r="21" spans="1:8">
      <c r="A21" s="5" t="s"/>
      <c r="B21" s="5" t="s"/>
      <c r="C21" s="5" t="s"/>
      <c r="D21" s="5" t="s"/>
      <c r="E21" s="5" t="s"/>
      <c r="F21" s="5" t="s"/>
      <c r="G21" s="5" t="s"/>
      <c r="H21" s="5" t="s"/>
    </row>
    <row r="22" spans="1:8">
      <c r="A22" s="5" t="s"/>
      <c r="B22" s="5" t="s"/>
      <c r="C22" s="5" t="s"/>
      <c r="D22" s="5" t="s"/>
      <c r="E22" s="5" t="s"/>
      <c r="F22" s="5" t="s"/>
      <c r="G22" s="5" t="s"/>
      <c r="H22" s="5" t="s"/>
    </row>
    <row r="23" spans="1:8">
      <c r="A23" s="5" t="s"/>
      <c r="B23" s="5" t="s"/>
      <c r="C23" s="5" t="s"/>
      <c r="D23" s="5" t="s"/>
      <c r="E23" s="5" t="s"/>
      <c r="F23" s="5" t="s"/>
      <c r="G23" s="5" t="s"/>
      <c r="H23" s="5" t="s"/>
    </row>
    <row r="24" spans="1:8">
      <c r="A24" s="5" t="s"/>
      <c r="B24" s="5" t="s"/>
      <c r="C24" s="5" t="s"/>
      <c r="D24" s="5" t="s"/>
      <c r="E24" s="5" t="s"/>
      <c r="F24" s="5" t="s"/>
      <c r="G24" s="5" t="s"/>
      <c r="H24" s="5" t="s"/>
    </row>
    <row r="25" spans="1:8">
      <c r="A25" s="5" t="s"/>
      <c r="B25" s="5" t="s"/>
      <c r="C25" s="5" t="s"/>
      <c r="D25" s="5" t="s"/>
      <c r="E25" s="5" t="s"/>
      <c r="F25" s="5" t="s"/>
      <c r="G25" s="5" t="s"/>
      <c r="H25" s="5" t="s"/>
    </row>
    <row r="26" spans="1:8">
      <c r="A26" s="5" t="s"/>
      <c r="B26" s="5" t="s"/>
      <c r="C26" s="5" t="s"/>
      <c r="D26" s="5" t="s"/>
      <c r="E26" s="5" t="s"/>
      <c r="F26" s="5" t="s"/>
      <c r="G26" s="5" t="s"/>
      <c r="H26" s="5" t="s"/>
    </row>
    <row r="27" spans="1:8">
      <c r="A27" s="5" t="s"/>
      <c r="B27" s="5" t="s"/>
      <c r="C27" s="5" t="s"/>
      <c r="D27" s="5" t="s"/>
      <c r="E27" s="5" t="s"/>
      <c r="F27" s="5" t="s"/>
      <c r="G27" s="5" t="s"/>
      <c r="H27" s="5" t="s"/>
    </row>
    <row r="28" spans="1:8">
      <c r="A28" s="5" t="s"/>
      <c r="B28" s="5" t="s"/>
      <c r="C28" s="5" t="s"/>
      <c r="D28" s="5" t="s"/>
      <c r="E28" s="5" t="s"/>
      <c r="F28" s="5" t="s"/>
      <c r="G28" s="5" t="s"/>
      <c r="H28" s="5" t="s"/>
    </row>
    <row r="29" spans="1:8">
      <c r="A29" s="5" t="s"/>
      <c r="B29" s="5" t="s"/>
      <c r="C29" s="5" t="s"/>
      <c r="D29" s="5" t="s"/>
      <c r="E29" s="5" t="s"/>
      <c r="F29" s="5" t="s"/>
      <c r="G29" s="5" t="s"/>
      <c r="H29" s="5" t="s"/>
    </row>
    <row r="30" spans="1:8">
      <c r="A30" s="5" t="s"/>
      <c r="B30" s="5" t="s"/>
      <c r="C30" s="5" t="s"/>
      <c r="D30" s="5" t="s"/>
      <c r="E30" s="5" t="s"/>
      <c r="F30" s="5" t="s"/>
      <c r="G30" s="5" t="s"/>
      <c r="H30" s="5" t="s"/>
    </row>
    <row r="31" spans="1:8">
      <c r="A31" s="5" t="s"/>
      <c r="B31" s="5" t="s"/>
      <c r="C31" s="5" t="s"/>
      <c r="D31" s="5" t="s"/>
      <c r="E31" s="5" t="s"/>
      <c r="F31" s="5" t="s"/>
      <c r="G31" s="5" t="s"/>
      <c r="H31" s="5" t="s"/>
    </row>
    <row r="32" spans="1:8">
      <c r="A32" s="5" t="s"/>
      <c r="B32" s="5" t="s"/>
      <c r="C32" s="5" t="s"/>
      <c r="D32" s="5" t="s"/>
      <c r="E32" s="5" t="s"/>
      <c r="F32" s="5" t="s"/>
      <c r="G32" s="5" t="s"/>
      <c r="H32" s="5" t="s"/>
    </row>
    <row r="33" spans="1:8">
      <c r="A33" s="5" t="s"/>
      <c r="B33" s="5" t="s"/>
      <c r="C33" s="5" t="s"/>
      <c r="D33" s="5" t="s"/>
      <c r="E33" s="5" t="s"/>
      <c r="F33" s="5" t="s"/>
      <c r="G33" s="5" t="s"/>
      <c r="H33" s="5" t="s"/>
    </row>
    <row r="34" spans="1:8">
      <c r="A34" s="5" t="s"/>
      <c r="B34" s="5" t="s"/>
      <c r="C34" s="5" t="s"/>
      <c r="D34" s="5" t="s"/>
      <c r="E34" s="5" t="s"/>
      <c r="F34" s="5" t="s"/>
      <c r="G34" s="5" t="s"/>
      <c r="H34" s="5" t="s"/>
    </row>
    <row r="35" spans="1:8">
      <c r="A35" s="5" t="s"/>
      <c r="B35" s="5" t="s"/>
      <c r="C35" s="5" t="s"/>
      <c r="D35" s="5" t="s"/>
      <c r="E35" s="5" t="s"/>
      <c r="F35" s="5" t="s"/>
      <c r="G35" s="5" t="s"/>
      <c r="H35" s="5" t="s"/>
    </row>
    <row r="36" spans="1:8">
      <c r="A36" s="5" t="s"/>
      <c r="B36" s="5" t="s"/>
      <c r="C36" s="5" t="s"/>
      <c r="D36" s="5" t="s"/>
      <c r="E36" s="5" t="s"/>
      <c r="F36" s="5" t="s"/>
      <c r="G36" s="5" t="s"/>
      <c r="H36" s="5" t="s"/>
    </row>
    <row r="37" spans="1:8">
      <c r="A37" s="5" t="s"/>
      <c r="B37" s="5" t="s"/>
      <c r="C37" s="5" t="s"/>
      <c r="D37" s="5" t="s"/>
      <c r="E37" s="5" t="s"/>
      <c r="F37" s="5" t="s"/>
      <c r="G37" s="5" t="s"/>
      <c r="H37" s="5" t="s"/>
    </row>
    <row r="38" spans="1:8">
      <c r="A38" s="5" t="s"/>
      <c r="B38" s="5" t="s"/>
      <c r="C38" s="5" t="s"/>
      <c r="D38" s="5" t="s"/>
      <c r="E38" s="5" t="s"/>
      <c r="F38" s="5" t="s"/>
      <c r="G38" s="5" t="s"/>
      <c r="H38" s="5" t="s"/>
    </row>
    <row r="39" spans="1:8">
      <c r="A39" s="5" t="s"/>
      <c r="B39" s="5" t="s"/>
      <c r="C39" s="5" t="s"/>
      <c r="D39" s="5" t="s"/>
      <c r="E39" s="5" t="s"/>
      <c r="F39" s="5" t="s"/>
      <c r="G39" s="5" t="s"/>
      <c r="H39" s="5" t="s"/>
    </row>
    <row r="40" spans="1:8">
      <c r="A40" s="5" t="s"/>
      <c r="B40" s="5" t="s"/>
      <c r="C40" s="5" t="s"/>
      <c r="D40" s="5" t="s"/>
      <c r="E40" s="5" t="s"/>
      <c r="F40" s="5" t="s"/>
      <c r="G40" s="5" t="s"/>
      <c r="H40" s="5" t="s"/>
    </row>
    <row r="41" spans="1:8">
      <c r="A41" s="5" t="s"/>
      <c r="B41" s="5" t="s"/>
      <c r="C41" s="5" t="s"/>
      <c r="D41" s="5" t="s"/>
      <c r="E41" s="5" t="s"/>
      <c r="F41" s="5" t="s"/>
      <c r="G41" s="5" t="s"/>
      <c r="H41" s="5" t="s"/>
    </row>
    <row r="42" spans="1:8">
      <c r="A42" s="5" t="s"/>
      <c r="B42" s="5" t="s"/>
      <c r="C42" s="5" t="s"/>
      <c r="D42" s="5" t="s"/>
      <c r="E42" s="5" t="s"/>
      <c r="F42" s="5" t="s"/>
      <c r="G42" s="5" t="s"/>
      <c r="H42" s="5" t="s"/>
    </row>
    <row r="43" spans="1:8">
      <c r="A43" s="5" t="s"/>
      <c r="B43" s="5" t="s"/>
      <c r="C43" s="5" t="s"/>
      <c r="D43" s="5" t="s"/>
      <c r="E43" s="5" t="s"/>
      <c r="F43" s="5" t="s"/>
      <c r="G43" s="5" t="s"/>
      <c r="H43" s="5" t="s"/>
    </row>
    <row r="44" spans="1:8">
      <c r="A44" s="5" t="s"/>
      <c r="B44" s="5" t="s"/>
      <c r="C44" s="5" t="s"/>
      <c r="D44" s="5" t="s"/>
      <c r="E44" s="5" t="s"/>
      <c r="F44" s="5" t="s"/>
      <c r="G44" s="5" t="s"/>
      <c r="H44" s="5" t="s"/>
    </row>
    <row r="45" spans="1:8">
      <c r="A45" s="5" t="s"/>
      <c r="B45" s="5" t="s"/>
      <c r="C45" s="5" t="s"/>
      <c r="D45" s="5" t="s"/>
      <c r="E45" s="5" t="s"/>
      <c r="F45" s="5" t="s"/>
      <c r="G45" s="5" t="s"/>
      <c r="H45" s="5" t="s"/>
    </row>
    <row r="46" spans="1:8">
      <c r="A46" s="5" t="s"/>
      <c r="B46" s="5" t="s"/>
      <c r="C46" s="5" t="s"/>
      <c r="D46" s="5" t="s"/>
      <c r="E46" s="5" t="s"/>
      <c r="F46" s="5" t="s"/>
      <c r="G46" s="5" t="s"/>
      <c r="H46" s="5" t="s"/>
    </row>
    <row r="47" spans="1:8">
      <c r="A47" s="5" t="s"/>
      <c r="B47" s="5" t="s"/>
      <c r="C47" s="5" t="s"/>
      <c r="D47" s="5" t="s"/>
      <c r="E47" s="5" t="s"/>
      <c r="F47" s="5" t="s"/>
      <c r="G47" s="5" t="s"/>
      <c r="H47" s="5" t="s"/>
    </row>
    <row r="48" spans="1:8">
      <c r="A48" s="5" t="s"/>
      <c r="B48" s="5" t="s"/>
      <c r="C48" s="5" t="s"/>
      <c r="D48" s="5" t="s"/>
      <c r="E48" s="5" t="s"/>
      <c r="F48" s="5" t="s"/>
      <c r="G48" s="5" t="s"/>
      <c r="H48" s="5" t="s"/>
    </row>
    <row r="49" spans="1:8">
      <c r="A49" s="5" t="s"/>
      <c r="B49" s="5" t="s"/>
      <c r="C49" s="5" t="s"/>
      <c r="D49" s="5" t="s"/>
      <c r="E49" s="5" t="s"/>
      <c r="F49" s="5" t="s"/>
      <c r="G49" s="5" t="s"/>
      <c r="H49" s="5" t="s"/>
    </row>
    <row r="50" spans="1:8">
      <c r="A50" s="5" t="s"/>
      <c r="B50" s="5" t="s"/>
      <c r="C50" s="5" t="s"/>
      <c r="D50" s="5" t="s"/>
      <c r="E50" s="5" t="s"/>
      <c r="F50" s="5" t="s"/>
      <c r="G50" s="5" t="s"/>
      <c r="H50" s="5" t="s"/>
    </row>
    <row r="51" spans="1:8">
      <c r="A51" s="5" t="s"/>
      <c r="B51" s="5" t="s"/>
      <c r="C51" s="5" t="s"/>
      <c r="D51" s="5" t="s"/>
      <c r="E51" s="5" t="s"/>
      <c r="F51" s="5" t="s"/>
      <c r="G51" s="5" t="s"/>
      <c r="H51" s="5" t="s"/>
    </row>
    <row r="52" spans="1:8">
      <c r="A52" s="5" t="s"/>
      <c r="B52" s="5" t="s"/>
      <c r="C52" s="5" t="s"/>
      <c r="D52" s="5" t="s"/>
      <c r="E52" s="5" t="s"/>
      <c r="F52" s="5" t="s"/>
      <c r="G52" s="5" t="s"/>
      <c r="H52" s="5" t="s"/>
    </row>
    <row r="53" spans="1:8">
      <c r="A53" s="5" t="s"/>
      <c r="B53" s="5" t="s"/>
      <c r="C53" s="5" t="s"/>
      <c r="D53" s="5" t="s"/>
      <c r="E53" s="5" t="s"/>
      <c r="F53" s="5" t="s"/>
      <c r="G53" s="5" t="s"/>
      <c r="H53" s="5" t="s"/>
    </row>
    <row r="54" spans="1:8">
      <c r="A54" s="5" t="s"/>
      <c r="B54" s="5" t="s"/>
      <c r="C54" s="5" t="s"/>
      <c r="D54" s="5" t="s"/>
      <c r="E54" s="5" t="s"/>
      <c r="F54" s="5" t="s"/>
      <c r="G54" s="5" t="s"/>
      <c r="H54" s="5" t="s"/>
    </row>
    <row r="55" spans="1:8">
      <c r="A55" s="5" t="s"/>
      <c r="B55" s="5" t="s"/>
      <c r="C55" s="5" t="s"/>
      <c r="D55" s="5" t="s"/>
      <c r="E55" s="5" t="s"/>
      <c r="F55" s="5" t="s"/>
      <c r="G55" s="5" t="s"/>
      <c r="H55" s="5" t="s"/>
    </row>
    <row r="56" spans="1:8">
      <c r="A56" s="5" t="s"/>
      <c r="B56" s="5" t="s"/>
      <c r="C56" s="5" t="s"/>
      <c r="D56" s="5" t="s"/>
      <c r="E56" s="5" t="s"/>
      <c r="F56" s="5" t="s"/>
      <c r="G56" s="5" t="s"/>
      <c r="H56" s="5" t="s"/>
    </row>
    <row r="57" spans="1:8">
      <c r="A57" s="5" t="s"/>
      <c r="B57" s="5" t="s"/>
      <c r="C57" s="5" t="s"/>
      <c r="D57" s="5" t="s"/>
      <c r="E57" s="5" t="s"/>
      <c r="F57" s="5" t="s"/>
      <c r="G57" s="5" t="s"/>
      <c r="H57" s="5" t="s"/>
    </row>
    <row r="58" spans="1:8">
      <c r="A58" s="5" t="s"/>
      <c r="B58" s="5" t="s"/>
      <c r="C58" s="5" t="s"/>
      <c r="D58" s="5" t="s"/>
      <c r="E58" s="5" t="s"/>
      <c r="F58" s="5" t="s"/>
      <c r="G58" s="5" t="s"/>
      <c r="H58" s="5" t="s"/>
    </row>
    <row r="59" spans="1:8">
      <c r="A59" s="5" t="s"/>
      <c r="B59" s="5" t="s"/>
      <c r="C59" s="5" t="s"/>
      <c r="D59" s="5" t="s"/>
      <c r="E59" s="5" t="s"/>
      <c r="F59" s="5" t="s"/>
      <c r="G59" s="5" t="s"/>
      <c r="H59" s="5" t="s"/>
    </row>
    <row r="60" spans="1:8">
      <c r="A60" s="5" t="s"/>
      <c r="B60" s="5" t="s"/>
      <c r="C60" s="5" t="s"/>
      <c r="D60" s="5" t="s"/>
      <c r="E60" s="5" t="s"/>
      <c r="F60" s="5" t="s"/>
      <c r="G60" s="5" t="s"/>
      <c r="H60" s="5" t="s"/>
    </row>
    <row r="61" spans="1:8">
      <c r="A61" s="5" t="s"/>
      <c r="B61" s="5" t="s"/>
      <c r="C61" s="5" t="s"/>
      <c r="D61" s="5" t="s"/>
      <c r="E61" s="5" t="s"/>
      <c r="F61" s="5" t="s"/>
      <c r="G61" s="5" t="s"/>
      <c r="H61" s="5" t="s"/>
    </row>
    <row r="62" spans="1:8">
      <c r="A62" s="5" t="s"/>
      <c r="B62" s="5" t="s"/>
      <c r="C62" s="5" t="s"/>
      <c r="D62" s="5" t="s"/>
      <c r="E62" s="5" t="s"/>
      <c r="F62" s="5" t="s"/>
      <c r="G62" s="5" t="s"/>
      <c r="H62" s="5" t="s"/>
    </row>
    <row r="63" spans="1:8">
      <c r="A63" s="5" t="s"/>
      <c r="B63" s="5" t="s"/>
      <c r="C63" s="5" t="s"/>
      <c r="D63" s="5" t="s"/>
      <c r="E63" s="5" t="s"/>
      <c r="F63" s="5" t="s"/>
      <c r="G63" s="5" t="s"/>
      <c r="H63" s="5" t="s"/>
    </row>
    <row r="64" spans="1:8">
      <c r="A64" s="5" t="s"/>
      <c r="B64" s="5" t="s"/>
      <c r="C64" s="5" t="s"/>
      <c r="D64" s="5" t="s"/>
      <c r="E64" s="5" t="s"/>
      <c r="F64" s="5" t="s"/>
      <c r="G64" s="5" t="s"/>
      <c r="H64" s="5" t="s"/>
    </row>
    <row r="65" spans="1:8">
      <c r="A65" s="5" t="s"/>
      <c r="B65" s="5" t="s"/>
      <c r="C65" s="5" t="s"/>
      <c r="D65" s="5" t="s"/>
      <c r="E65" s="5" t="s"/>
      <c r="F65" s="5" t="s"/>
      <c r="G65" s="5" t="s"/>
      <c r="H65" s="5" t="s"/>
    </row>
    <row r="66" spans="1:8">
      <c r="A66" s="5" t="s"/>
      <c r="B66" s="5" t="s"/>
      <c r="C66" s="5" t="s"/>
      <c r="D66" s="5" t="s"/>
      <c r="E66" s="5" t="s"/>
      <c r="F66" s="5" t="s"/>
      <c r="G66" s="5" t="s"/>
      <c r="H66" s="5" t="s"/>
    </row>
    <row r="67" spans="1:8">
      <c r="A67" s="5" t="s"/>
      <c r="B67" s="5" t="s"/>
      <c r="C67" s="5" t="s"/>
      <c r="D67" s="5" t="s"/>
      <c r="E67" s="5" t="s"/>
      <c r="F67" s="5" t="s"/>
      <c r="G67" s="5" t="s"/>
      <c r="H67" s="5" t="s"/>
    </row>
    <row r="68" spans="1:8">
      <c r="A68" s="5" t="s"/>
      <c r="B68" s="5" t="s"/>
      <c r="C68" s="5" t="s"/>
      <c r="D68" s="5" t="s"/>
      <c r="E68" s="5" t="s"/>
      <c r="F68" s="5" t="s"/>
      <c r="G68" s="5" t="s"/>
      <c r="H68" s="5" t="s"/>
    </row>
    <row r="69" spans="1:8">
      <c r="A69" s="5" t="s"/>
      <c r="B69" s="5" t="s"/>
      <c r="C69" s="5" t="s"/>
      <c r="D69" s="5" t="s"/>
      <c r="E69" s="5" t="s"/>
      <c r="F69" s="5" t="s"/>
      <c r="G69" s="5" t="s"/>
      <c r="H69" s="5" t="s"/>
    </row>
    <row r="70" spans="1:8">
      <c r="A70" s="5" t="s"/>
      <c r="B70" s="5" t="s"/>
      <c r="C70" s="5" t="s"/>
      <c r="D70" s="5" t="s"/>
      <c r="E70" s="5" t="s"/>
      <c r="F70" s="5" t="s"/>
      <c r="G70" s="5" t="s"/>
      <c r="H70" s="5" t="s"/>
    </row>
    <row r="71" spans="1:8">
      <c r="A71" s="5" t="s"/>
      <c r="B71" s="5" t="s"/>
      <c r="C71" s="5" t="s"/>
      <c r="D71" s="5" t="s"/>
      <c r="E71" s="5" t="s"/>
      <c r="F71" s="5" t="s"/>
      <c r="G71" s="5" t="s"/>
      <c r="H71" s="5" t="s"/>
    </row>
    <row r="72" spans="1:8">
      <c r="A72" s="5" t="s"/>
      <c r="B72" s="5" t="s"/>
      <c r="C72" s="5" t="s"/>
      <c r="D72" s="5" t="s"/>
      <c r="E72" s="5" t="s"/>
      <c r="F72" s="5" t="s"/>
      <c r="G72" s="5" t="s"/>
      <c r="H72" s="5" t="s"/>
    </row>
    <row r="73" spans="1:8">
      <c r="A73" s="5" t="s"/>
      <c r="B73" s="5" t="s"/>
      <c r="C73" s="5" t="s"/>
      <c r="D73" s="5" t="s"/>
      <c r="E73" s="5" t="s"/>
      <c r="F73" s="5" t="s"/>
      <c r="G73" s="5" t="s"/>
      <c r="H73" s="5" t="s"/>
    </row>
    <row r="74" spans="1:8">
      <c r="A74" s="5" t="s"/>
      <c r="B74" s="5" t="s"/>
      <c r="C74" s="5" t="s"/>
      <c r="D74" s="5" t="s"/>
      <c r="E74" s="5" t="s"/>
      <c r="F74" s="5" t="s"/>
      <c r="G74" s="5" t="s"/>
      <c r="H74" s="5" t="s"/>
    </row>
    <row r="75" spans="1:8">
      <c r="A75" s="5" t="s"/>
      <c r="B75" s="5" t="s"/>
      <c r="C75" s="5" t="s"/>
      <c r="D75" s="5" t="s"/>
      <c r="E75" s="5" t="s"/>
      <c r="F75" s="5" t="s"/>
      <c r="G75" s="5" t="s"/>
      <c r="H75" s="5" t="s"/>
    </row>
    <row r="76" spans="1:8">
      <c r="A76" s="5" t="s"/>
      <c r="B76" s="5" t="s"/>
      <c r="C76" s="5" t="s"/>
      <c r="D76" s="5" t="s"/>
      <c r="E76" s="5" t="s"/>
      <c r="F76" s="5" t="s"/>
      <c r="G76" s="5" t="s"/>
      <c r="H76" s="5" t="s"/>
    </row>
    <row r="77" spans="1:8">
      <c r="A77" s="5" t="s"/>
      <c r="B77" s="5" t="s"/>
      <c r="C77" s="5" t="s"/>
      <c r="D77" s="5" t="s"/>
      <c r="E77" s="5" t="s"/>
      <c r="F77" s="5" t="s"/>
      <c r="G77" s="5" t="s"/>
      <c r="H77" s="5" t="s"/>
    </row>
    <row r="78" spans="1:8">
      <c r="A78" s="5" t="s"/>
      <c r="B78" s="5" t="s"/>
      <c r="C78" s="5" t="s"/>
      <c r="D78" s="5" t="s"/>
      <c r="E78" s="5" t="s"/>
      <c r="F78" s="5" t="s"/>
      <c r="G78" s="5" t="s"/>
      <c r="H78" s="5" t="s"/>
    </row>
    <row r="79" spans="1:8">
      <c r="A79" s="5" t="s"/>
      <c r="B79" s="5" t="s"/>
      <c r="C79" s="5" t="s"/>
      <c r="D79" s="5" t="s"/>
      <c r="E79" s="5" t="s"/>
      <c r="F79" s="5" t="s"/>
      <c r="G79" s="5" t="s"/>
      <c r="H79" s="5" t="s"/>
    </row>
    <row r="80" spans="1:8">
      <c r="A80" s="5" t="s"/>
      <c r="B80" s="5" t="s"/>
      <c r="C80" s="5" t="s"/>
      <c r="D80" s="5" t="s"/>
      <c r="E80" s="5" t="s"/>
      <c r="F80" s="5" t="s"/>
      <c r="G80" s="5" t="s"/>
      <c r="H80" s="5" t="s"/>
    </row>
    <row r="81" spans="1:8">
      <c r="A81" s="5" t="s"/>
      <c r="B81" s="5" t="s"/>
      <c r="C81" s="5" t="s"/>
      <c r="D81" s="5" t="s"/>
      <c r="E81" s="5" t="s"/>
      <c r="F81" s="5" t="s"/>
      <c r="G81" s="5" t="s"/>
      <c r="H81" s="5" t="s"/>
    </row>
    <row r="82" spans="1:8">
      <c r="A82" s="5" t="s"/>
      <c r="B82" s="5" t="s"/>
      <c r="C82" s="5" t="s"/>
      <c r="D82" s="5" t="s"/>
      <c r="E82" s="5" t="s"/>
      <c r="F82" s="5" t="s"/>
      <c r="G82" s="5" t="s"/>
      <c r="H82" s="5" t="s"/>
    </row>
    <row r="83" spans="1:8">
      <c r="A83" s="5" t="s"/>
      <c r="B83" s="5" t="s"/>
      <c r="C83" s="5" t="s"/>
      <c r="D83" s="5" t="s"/>
      <c r="E83" s="5" t="s"/>
      <c r="F83" s="5" t="s"/>
      <c r="G83" s="5" t="s"/>
      <c r="H83" s="5" t="s"/>
    </row>
    <row r="84" spans="1:8">
      <c r="A84" s="5" t="s"/>
      <c r="B84" s="5" t="s"/>
      <c r="C84" s="5" t="s"/>
      <c r="D84" s="5" t="s"/>
      <c r="E84" s="5" t="s"/>
      <c r="F84" s="5" t="s"/>
      <c r="G84" s="5" t="s"/>
      <c r="H84" s="5" t="s"/>
    </row>
    <row r="85" spans="1:8">
      <c r="A85" s="5" t="s"/>
      <c r="B85" s="5" t="s"/>
      <c r="C85" s="5" t="s"/>
      <c r="D85" s="5" t="s"/>
      <c r="E85" s="5" t="s"/>
      <c r="F85" s="5" t="s"/>
      <c r="G85" s="5" t="s"/>
      <c r="H85" s="5" t="s"/>
    </row>
    <row r="86" spans="1:8">
      <c r="A86" s="5" t="s"/>
      <c r="B86" s="5" t="s"/>
      <c r="C86" s="5" t="s"/>
      <c r="D86" s="5" t="s"/>
      <c r="E86" s="5" t="s"/>
      <c r="F86" s="5" t="s"/>
      <c r="G86" s="5" t="s"/>
      <c r="H86" s="5" t="s"/>
    </row>
    <row r="87" spans="1:8">
      <c r="A87" s="5" t="s"/>
      <c r="B87" s="5" t="s"/>
      <c r="C87" s="5" t="s"/>
      <c r="D87" s="5" t="s"/>
      <c r="E87" s="5" t="s"/>
      <c r="F87" s="5" t="s"/>
      <c r="G87" s="5" t="s"/>
      <c r="H87" s="5" t="s"/>
    </row>
    <row r="88" spans="1:8">
      <c r="A88" s="5" t="s"/>
      <c r="B88" s="5" t="s"/>
      <c r="C88" s="5" t="s"/>
      <c r="D88" s="5" t="s"/>
      <c r="E88" s="5" t="s"/>
      <c r="F88" s="5" t="s"/>
      <c r="G88" s="5" t="s"/>
      <c r="H88" s="5" t="s"/>
    </row>
    <row r="89" spans="1:8">
      <c r="A89" s="5" t="s"/>
      <c r="B89" s="5" t="s"/>
      <c r="C89" s="5" t="s"/>
      <c r="D89" s="5" t="s"/>
      <c r="E89" s="5" t="s"/>
      <c r="F89" s="5" t="s"/>
      <c r="G89" s="5" t="s"/>
      <c r="H89" s="5" t="s"/>
    </row>
    <row r="90" spans="1:8">
      <c r="A90" s="5" t="s"/>
      <c r="B90" s="5" t="s"/>
      <c r="C90" s="5" t="s"/>
      <c r="D90" s="5" t="s"/>
      <c r="E90" s="5" t="s"/>
      <c r="F90" s="5" t="s"/>
      <c r="G90" s="5" t="s"/>
      <c r="H90" s="5" t="s"/>
    </row>
    <row r="91" spans="1:8">
      <c r="A91" s="5" t="s"/>
      <c r="B91" s="5" t="s"/>
      <c r="C91" s="5" t="s"/>
      <c r="D91" s="5" t="s"/>
      <c r="E91" s="5" t="s"/>
      <c r="F91" s="5" t="s"/>
      <c r="G91" s="5" t="s"/>
      <c r="H91" s="5" t="s"/>
    </row>
    <row r="92" spans="1:8">
      <c r="A92" s="5" t="s"/>
      <c r="B92" s="5" t="s"/>
      <c r="C92" s="5" t="s"/>
      <c r="D92" s="5" t="s"/>
      <c r="E92" s="5" t="s"/>
      <c r="F92" s="5" t="s"/>
      <c r="G92" s="5" t="s"/>
      <c r="H92" s="5" t="s"/>
    </row>
    <row r="93" spans="1:8">
      <c r="A93" s="5" t="s"/>
      <c r="B93" s="5" t="s"/>
      <c r="C93" s="5" t="s"/>
      <c r="D93" s="5" t="s"/>
      <c r="E93" s="5" t="s"/>
      <c r="F93" s="5" t="s"/>
      <c r="G93" s="5" t="s"/>
      <c r="H93" s="5" t="s"/>
    </row>
    <row r="94" spans="1:8">
      <c r="A94" s="5" t="s"/>
      <c r="B94" s="5" t="s"/>
      <c r="C94" s="5" t="s"/>
      <c r="D94" s="5" t="s"/>
      <c r="E94" s="5" t="s"/>
      <c r="F94" s="5" t="s"/>
      <c r="G94" s="5" t="s"/>
      <c r="H94" s="5" t="s"/>
    </row>
    <row r="95" spans="1:8">
      <c r="A95" s="5" t="s"/>
      <c r="B95" s="5" t="s"/>
      <c r="C95" s="5" t="s"/>
      <c r="D95" s="5" t="s"/>
      <c r="E95" s="5" t="s"/>
      <c r="F95" s="5" t="s"/>
      <c r="G95" s="5" t="s"/>
      <c r="H95" s="5" t="s"/>
    </row>
    <row r="96" spans="1:8">
      <c r="A96" s="5" t="s"/>
      <c r="B96" s="5" t="s"/>
      <c r="C96" s="5" t="s"/>
      <c r="D96" s="5" t="s"/>
      <c r="E96" s="5" t="s"/>
      <c r="F96" s="5" t="s"/>
      <c r="G96" s="5" t="s"/>
      <c r="H96" s="5" t="s"/>
    </row>
    <row r="97" spans="1:8">
      <c r="A97" s="5" t="s"/>
      <c r="B97" s="5" t="s"/>
      <c r="C97" s="5" t="s"/>
      <c r="D97" s="5" t="s"/>
      <c r="E97" s="5" t="s"/>
      <c r="F97" s="5" t="s"/>
      <c r="G97" s="5" t="s"/>
      <c r="H97" s="5" t="s"/>
    </row>
    <row r="98" spans="1:8">
      <c r="A98" s="5" t="s"/>
      <c r="B98" s="5" t="s"/>
      <c r="C98" s="5" t="s"/>
      <c r="D98" s="5" t="s"/>
      <c r="E98" s="5" t="s"/>
      <c r="F98" s="5" t="s"/>
      <c r="G98" s="5" t="s"/>
      <c r="H98" s="5" t="s"/>
    </row>
    <row r="99" spans="1:8">
      <c r="A99" s="5" t="s"/>
      <c r="B99" s="5" t="s"/>
      <c r="C99" s="5" t="s"/>
      <c r="D99" s="5" t="s"/>
      <c r="E99" s="5" t="s"/>
      <c r="F99" s="5" t="s"/>
      <c r="G99" s="5" t="s"/>
      <c r="H99" s="5" t="s"/>
    </row>
    <row r="100" spans="1:8">
      <c r="A100" s="5" t="s"/>
      <c r="B100" s="5" t="s"/>
      <c r="C100" s="5" t="s"/>
      <c r="D100" s="5" t="s"/>
      <c r="E100" s="5" t="s"/>
      <c r="F100" s="5" t="s"/>
      <c r="G100" s="5" t="s"/>
      <c r="H100" s="5" t="s"/>
    </row>
    <row r="101" spans="1:8">
      <c r="A101" s="5" t="s"/>
      <c r="B101" s="5" t="s"/>
      <c r="C101" s="5" t="s"/>
      <c r="D101" s="5" t="s"/>
      <c r="E101" s="5" t="s"/>
      <c r="F101" s="5" t="s"/>
      <c r="G101" s="5" t="s"/>
      <c r="H101" s="5" t="s"/>
    </row>
    <row r="102" spans="1:8">
      <c r="A102" s="5" t="s"/>
      <c r="B102" s="5" t="s"/>
      <c r="C102" s="5" t="s"/>
      <c r="D102" s="5" t="s"/>
      <c r="E102" s="5" t="s"/>
      <c r="F102" s="5" t="s"/>
      <c r="G102" s="5" t="s"/>
      <c r="H102" s="5" t="s"/>
    </row>
    <row r="103" spans="1:8">
      <c r="A103" s="5" t="s"/>
      <c r="B103" s="5" t="s"/>
      <c r="C103" s="5" t="s"/>
      <c r="D103" s="5" t="s"/>
      <c r="E103" s="5" t="s"/>
      <c r="F103" s="5" t="s"/>
      <c r="G103" s="5" t="s"/>
      <c r="H103" s="5" t="s"/>
    </row>
    <row r="104" spans="1:8">
      <c r="A104" s="5" t="s"/>
      <c r="B104" s="5" t="s"/>
      <c r="C104" s="5" t="s"/>
      <c r="D104" s="5" t="s"/>
      <c r="E104" s="5" t="s"/>
      <c r="F104" s="5" t="s"/>
      <c r="G104" s="5" t="s"/>
      <c r="H104" s="5" t="s"/>
    </row>
    <row r="105" spans="1:8">
      <c r="A105" s="5" t="s"/>
      <c r="B105" s="5" t="s"/>
      <c r="C105" s="5" t="s"/>
      <c r="D105" s="5" t="s"/>
      <c r="E105" s="5" t="s"/>
      <c r="F105" s="5" t="s"/>
      <c r="G105" s="5" t="s"/>
      <c r="H105" s="5" t="s"/>
    </row>
    <row r="106" spans="1:8">
      <c r="A106" s="5" t="s"/>
      <c r="B106" s="5" t="s"/>
      <c r="C106" s="5" t="s"/>
      <c r="D106" s="5" t="s"/>
      <c r="E106" s="5" t="s"/>
      <c r="F106" s="5" t="s"/>
      <c r="G106" s="5" t="s"/>
      <c r="H106" s="5" t="s"/>
    </row>
    <row r="107" spans="1:8">
      <c r="A107" s="5" t="s"/>
      <c r="B107" s="5" t="s"/>
      <c r="C107" s="5" t="s"/>
      <c r="D107" s="5" t="s"/>
      <c r="E107" s="5" t="s"/>
      <c r="F107" s="5" t="s"/>
      <c r="G107" s="5" t="s"/>
      <c r="H107" s="5" t="s"/>
    </row>
    <row r="108" spans="1:8">
      <c r="A108" s="5" t="s"/>
      <c r="B108" s="5" t="s"/>
      <c r="C108" s="5" t="s"/>
      <c r="D108" s="5" t="s"/>
      <c r="E108" s="5" t="s"/>
      <c r="F108" s="5" t="s"/>
      <c r="G108" s="5" t="s"/>
      <c r="H108" s="5" t="s"/>
    </row>
    <row r="109" spans="1:8">
      <c r="A109" s="5" t="s"/>
      <c r="B109" s="5" t="s"/>
      <c r="C109" s="5" t="s"/>
      <c r="D109" s="5" t="s"/>
      <c r="E109" s="5" t="s"/>
      <c r="F109" s="5" t="s"/>
      <c r="G109" s="5" t="s"/>
      <c r="H109" s="5" t="s"/>
    </row>
    <row r="110" spans="1:8">
      <c r="A110" s="5" t="s"/>
      <c r="B110" s="5" t="s"/>
      <c r="C110" s="5" t="s"/>
      <c r="D110" s="5" t="s"/>
      <c r="E110" s="5" t="s"/>
      <c r="F110" s="5" t="s"/>
      <c r="G110" s="5" t="s"/>
      <c r="H110" s="5" t="s"/>
    </row>
    <row r="111" spans="1:8">
      <c r="A111" s="5" t="s"/>
      <c r="B111" s="5" t="s"/>
      <c r="C111" s="5" t="s"/>
      <c r="D111" s="5" t="s"/>
      <c r="E111" s="5" t="s"/>
      <c r="F111" s="5" t="s"/>
      <c r="G111" s="5" t="s"/>
      <c r="H111" s="5" t="s"/>
    </row>
    <row r="112" spans="1:8">
      <c r="A112" s="5" t="s"/>
      <c r="B112" s="5" t="s"/>
      <c r="C112" s="5" t="s"/>
      <c r="D112" s="5" t="s"/>
      <c r="E112" s="5" t="s"/>
      <c r="F112" s="5" t="s"/>
      <c r="G112" s="5" t="s"/>
      <c r="H112" s="5" t="s"/>
    </row>
    <row r="113" spans="1:8">
      <c r="A113" s="5" t="s"/>
      <c r="B113" s="5" t="s"/>
      <c r="C113" s="5" t="s"/>
      <c r="D113" s="5" t="s"/>
      <c r="E113" s="5" t="s"/>
      <c r="F113" s="5" t="s"/>
      <c r="G113" s="5" t="s"/>
      <c r="H113" s="5" t="s"/>
    </row>
    <row r="114" spans="1:8">
      <c r="A114" s="5" t="s"/>
      <c r="B114" s="5" t="s"/>
      <c r="C114" s="5" t="s"/>
      <c r="D114" s="5" t="s"/>
      <c r="E114" s="5" t="s"/>
      <c r="F114" s="5" t="s"/>
      <c r="G114" s="5" t="s"/>
      <c r="H114" s="5" t="s"/>
    </row>
    <row r="115" spans="1:8">
      <c r="A115" s="5" t="s"/>
      <c r="B115" s="5" t="s"/>
      <c r="C115" s="5" t="s"/>
      <c r="D115" s="5" t="s"/>
      <c r="E115" s="5" t="s"/>
      <c r="F115" s="5" t="s"/>
      <c r="G115" s="5" t="s"/>
      <c r="H115" s="5" t="s"/>
    </row>
    <row r="116" spans="1:8">
      <c r="A116" s="5" t="s"/>
      <c r="B116" s="5" t="s"/>
      <c r="C116" s="5" t="s"/>
      <c r="D116" s="5" t="s"/>
      <c r="E116" s="5" t="s"/>
      <c r="F116" s="5" t="s"/>
      <c r="G116" s="5" t="s"/>
      <c r="H116" s="5" t="s"/>
    </row>
    <row r="117" spans="1:8">
      <c r="A117" s="5" t="s"/>
      <c r="B117" s="5" t="s"/>
      <c r="C117" s="5" t="s"/>
      <c r="D117" s="5" t="s"/>
      <c r="E117" s="5" t="s"/>
      <c r="F117" s="5" t="s"/>
      <c r="G117" s="5" t="s"/>
      <c r="H117" s="5" t="s"/>
    </row>
    <row r="118" spans="1:8">
      <c r="A118" s="5" t="s"/>
      <c r="B118" s="5" t="s"/>
      <c r="C118" s="5" t="s"/>
      <c r="D118" s="5" t="s"/>
      <c r="E118" s="5" t="s"/>
      <c r="F118" s="5" t="s"/>
      <c r="G118" s="5" t="s"/>
      <c r="H118" s="5" t="s"/>
    </row>
    <row r="119" spans="1:8">
      <c r="A119" s="5" t="s"/>
      <c r="B119" s="5" t="s"/>
      <c r="C119" s="5" t="s"/>
      <c r="D119" s="5" t="s"/>
      <c r="E119" s="5" t="s"/>
      <c r="F119" s="5" t="s"/>
      <c r="G119" s="5" t="s"/>
      <c r="H119" s="5" t="s"/>
    </row>
    <row r="120" spans="1:8">
      <c r="A120" s="5" t="s"/>
      <c r="B120" s="5" t="s"/>
      <c r="C120" s="5" t="s"/>
      <c r="D120" s="5" t="s"/>
      <c r="E120" s="5" t="s"/>
      <c r="F120" s="5" t="s"/>
      <c r="G120" s="5" t="s"/>
      <c r="H120" s="5" t="s"/>
    </row>
    <row r="121" spans="1:8">
      <c r="A121" s="5" t="s"/>
      <c r="B121" s="5" t="s"/>
      <c r="C121" s="5" t="s"/>
      <c r="D121" s="5" t="s"/>
      <c r="E121" s="5" t="s"/>
      <c r="F121" s="5" t="s"/>
      <c r="G121" s="5" t="s"/>
      <c r="H121" s="5" t="s"/>
    </row>
    <row r="122" spans="1:8">
      <c r="A122" s="5" t="s"/>
      <c r="B122" s="5" t="s"/>
      <c r="C122" s="5" t="s"/>
      <c r="D122" s="5" t="s"/>
      <c r="E122" s="5" t="s"/>
      <c r="F122" s="5" t="s"/>
      <c r="G122" s="5" t="s"/>
      <c r="H122" s="5" t="s"/>
    </row>
    <row r="123" spans="1:8">
      <c r="A123" s="5" t="s"/>
      <c r="B123" s="5" t="s"/>
      <c r="C123" s="5" t="s"/>
      <c r="D123" s="5" t="s"/>
      <c r="E123" s="5" t="s"/>
      <c r="F123" s="5" t="s"/>
      <c r="G123" s="5" t="s"/>
      <c r="H123" s="5" t="s"/>
    </row>
    <row r="124" spans="1:8">
      <c r="A124" s="5" t="s"/>
      <c r="B124" s="5" t="s"/>
      <c r="C124" s="5" t="s"/>
      <c r="D124" s="5" t="s"/>
      <c r="E124" s="5" t="s"/>
      <c r="F124" s="5" t="s"/>
      <c r="G124" s="5" t="s"/>
      <c r="H124" s="5" t="s"/>
    </row>
    <row r="125" spans="1:8">
      <c r="A125" s="5" t="s"/>
      <c r="B125" s="5" t="s"/>
      <c r="C125" s="5" t="s"/>
      <c r="D125" s="5" t="s"/>
      <c r="E125" s="5" t="s"/>
      <c r="F125" s="5" t="s"/>
      <c r="G125" s="5" t="s"/>
      <c r="H125" s="5" t="s"/>
    </row>
    <row r="126" spans="1:8">
      <c r="A126" s="5" t="s"/>
      <c r="B126" s="5" t="s"/>
      <c r="C126" s="5" t="s"/>
      <c r="D126" s="5" t="s"/>
      <c r="E126" s="5" t="s"/>
      <c r="F126" s="5" t="s"/>
      <c r="G126" s="5" t="s"/>
      <c r="H126" s="5" t="s"/>
    </row>
    <row r="127" spans="1:8">
      <c r="A127" s="5" t="s"/>
      <c r="B127" s="5" t="s"/>
      <c r="C127" s="5" t="s"/>
      <c r="D127" s="5" t="s"/>
      <c r="E127" s="5" t="s"/>
      <c r="F127" s="5" t="s"/>
      <c r="G127" s="5" t="s"/>
      <c r="H127" s="5" t="s"/>
    </row>
    <row r="128" spans="1:8">
      <c r="A128" s="5" t="s"/>
      <c r="B128" s="5" t="s"/>
      <c r="C128" s="5" t="s"/>
      <c r="D128" s="5" t="s"/>
      <c r="E128" s="5" t="s"/>
      <c r="F128" s="5" t="s"/>
      <c r="G128" s="5" t="s"/>
      <c r="H128" s="5" t="s"/>
    </row>
    <row r="129" spans="1:8">
      <c r="A129" s="5" t="s"/>
      <c r="B129" s="5" t="s"/>
      <c r="C129" s="5" t="s"/>
      <c r="D129" s="5" t="s"/>
      <c r="E129" s="5" t="s"/>
      <c r="F129" s="5" t="s"/>
      <c r="G129" s="5" t="s"/>
      <c r="H129" s="5" t="s"/>
    </row>
    <row r="130" spans="1:8">
      <c r="A130" s="5" t="s"/>
      <c r="B130" s="5" t="s"/>
      <c r="C130" s="5" t="s"/>
      <c r="D130" s="5" t="s"/>
      <c r="E130" s="5" t="s"/>
      <c r="F130" s="5" t="s"/>
      <c r="G130" s="5" t="s"/>
      <c r="H130" s="5" t="s"/>
    </row>
    <row r="131" spans="1:8">
      <c r="A131" s="5" t="s"/>
      <c r="B131" s="5" t="s"/>
      <c r="C131" s="5" t="s"/>
      <c r="D131" s="5" t="s"/>
      <c r="E131" s="5" t="s"/>
      <c r="F131" s="5" t="s"/>
      <c r="G131" s="5" t="s"/>
      <c r="H131" s="5" t="s"/>
    </row>
    <row r="132" spans="1:8">
      <c r="A132" s="5" t="s"/>
      <c r="B132" s="5" t="s"/>
      <c r="C132" s="5" t="s"/>
      <c r="D132" s="5" t="s"/>
      <c r="E132" s="5" t="s"/>
      <c r="F132" s="5" t="s"/>
      <c r="G132" s="5" t="s"/>
      <c r="H132" s="5" t="s"/>
    </row>
    <row r="133" spans="1:8">
      <c r="A133" s="5" t="s"/>
      <c r="B133" s="5" t="s"/>
      <c r="C133" s="5" t="s"/>
      <c r="D133" s="5" t="s"/>
      <c r="E133" s="5" t="s"/>
      <c r="F133" s="5" t="s"/>
      <c r="G133" s="5" t="s"/>
      <c r="H133" s="5" t="s"/>
    </row>
    <row r="134" spans="1:8">
      <c r="A134" s="5" t="s"/>
      <c r="B134" s="5" t="s"/>
      <c r="C134" s="5" t="s"/>
      <c r="D134" s="5" t="s"/>
      <c r="E134" s="5" t="s"/>
      <c r="F134" s="5" t="s"/>
      <c r="G134" s="5" t="s"/>
      <c r="H134" s="5" t="s"/>
    </row>
    <row r="135" spans="1:8">
      <c r="A135" s="5" t="s"/>
      <c r="B135" s="5" t="s"/>
      <c r="C135" s="5" t="s"/>
      <c r="D135" s="5" t="s"/>
      <c r="E135" s="5" t="s"/>
      <c r="F135" s="5" t="s"/>
      <c r="G135" s="5" t="s"/>
      <c r="H135" s="5" t="s"/>
    </row>
    <row r="136" spans="1:8">
      <c r="A136" s="5" t="s"/>
      <c r="B136" s="5" t="s"/>
      <c r="C136" s="5" t="s"/>
      <c r="D136" s="5" t="s"/>
      <c r="E136" s="5" t="s"/>
      <c r="F136" s="5" t="s"/>
      <c r="G136" s="5" t="s"/>
      <c r="H136" s="5" t="s"/>
    </row>
    <row r="137" spans="1:8">
      <c r="A137" s="5" t="s"/>
      <c r="B137" s="5" t="s"/>
      <c r="C137" s="5" t="s"/>
      <c r="D137" s="5" t="s"/>
      <c r="E137" s="5" t="s"/>
      <c r="F137" s="5" t="s"/>
      <c r="G137" s="5" t="s"/>
      <c r="H137" s="5" t="s"/>
    </row>
    <row r="138" spans="1:8">
      <c r="A138" s="5" t="s"/>
      <c r="B138" s="5" t="s"/>
      <c r="C138" s="5" t="s"/>
      <c r="D138" s="5" t="s"/>
      <c r="E138" s="5" t="s"/>
      <c r="F138" s="5" t="s"/>
      <c r="G138" s="5" t="s"/>
      <c r="H138" s="5" t="s"/>
    </row>
    <row r="139" spans="1:8">
      <c r="A139" s="5" t="s"/>
      <c r="B139" s="5" t="s"/>
      <c r="C139" s="5" t="s"/>
      <c r="D139" s="5" t="s"/>
      <c r="E139" s="5" t="s"/>
      <c r="F139" s="5" t="s"/>
      <c r="G139" s="5" t="s"/>
      <c r="H139" s="5" t="s"/>
    </row>
    <row r="140" spans="1:8">
      <c r="A140" s="5" t="s"/>
      <c r="B140" s="5" t="s"/>
      <c r="C140" s="5" t="s"/>
      <c r="D140" s="5" t="s"/>
      <c r="E140" s="5" t="s"/>
      <c r="F140" s="5" t="s"/>
      <c r="G140" s="5" t="s"/>
      <c r="H140" s="5" t="s"/>
    </row>
    <row r="141" spans="1:8">
      <c r="A141" s="5" t="s"/>
      <c r="B141" s="5" t="s"/>
      <c r="C141" s="5" t="s"/>
      <c r="D141" s="5" t="s"/>
      <c r="E141" s="5" t="s"/>
      <c r="F141" s="5" t="s"/>
      <c r="G141" s="5" t="s"/>
      <c r="H141" s="5" t="s"/>
    </row>
    <row r="142" spans="1:8">
      <c r="A142" s="5" t="s"/>
      <c r="B142" s="5" t="s"/>
      <c r="C142" s="5" t="s"/>
      <c r="D142" s="5" t="s"/>
      <c r="E142" s="5" t="s"/>
      <c r="F142" s="5" t="s"/>
      <c r="G142" s="5" t="s"/>
      <c r="H142" s="5" t="s"/>
    </row>
    <row r="143" spans="1:8">
      <c r="A143" s="5" t="s"/>
      <c r="B143" s="5" t="s"/>
      <c r="C143" s="5" t="s"/>
      <c r="D143" s="5" t="s"/>
      <c r="E143" s="5" t="s"/>
      <c r="F143" s="5" t="s"/>
      <c r="G143" s="5" t="s"/>
      <c r="H143" s="5" t="s"/>
    </row>
    <row r="144" spans="1:8">
      <c r="A144" s="5" t="s"/>
      <c r="B144" s="5" t="s"/>
      <c r="C144" s="5" t="s"/>
      <c r="D144" s="5" t="s"/>
      <c r="E144" s="5" t="s"/>
      <c r="F144" s="5" t="s"/>
      <c r="G144" s="5" t="s"/>
      <c r="H144" s="5" t="s"/>
    </row>
    <row r="145" spans="1:8">
      <c r="A145" s="5" t="s"/>
      <c r="B145" s="5" t="s"/>
      <c r="C145" s="5" t="s"/>
      <c r="D145" s="5" t="s"/>
      <c r="E145" s="5" t="s"/>
      <c r="F145" s="5" t="s"/>
      <c r="G145" s="5" t="s"/>
      <c r="H145" s="5" t="s"/>
    </row>
    <row r="146" spans="1:8">
      <c r="A146" s="5" t="s"/>
      <c r="B146" s="5" t="s"/>
      <c r="C146" s="5" t="s"/>
      <c r="D146" s="5" t="s"/>
      <c r="E146" s="5" t="s"/>
      <c r="F146" s="5" t="s"/>
      <c r="G146" s="5" t="s"/>
      <c r="H146" s="5" t="s"/>
    </row>
    <row r="147" spans="1:8">
      <c r="A147" s="5" t="s"/>
      <c r="B147" s="5" t="s"/>
      <c r="C147" s="5" t="s"/>
      <c r="D147" s="5" t="s"/>
      <c r="E147" s="5" t="s"/>
      <c r="F147" s="5" t="s"/>
      <c r="G147" s="5" t="s"/>
      <c r="H147" s="5" t="s"/>
    </row>
    <row r="148" spans="1:8">
      <c r="A148" s="5" t="s"/>
      <c r="B148" s="5" t="s"/>
      <c r="C148" s="5" t="s"/>
      <c r="D148" s="5" t="s"/>
      <c r="E148" s="5" t="s"/>
      <c r="F148" s="5" t="s"/>
      <c r="G148" s="5" t="s"/>
      <c r="H148" s="5" t="s"/>
    </row>
    <row r="149" spans="1:8">
      <c r="A149" s="5" t="s"/>
      <c r="B149" s="5" t="s"/>
      <c r="C149" s="5" t="s"/>
      <c r="D149" s="5" t="s"/>
      <c r="E149" s="5" t="s"/>
      <c r="F149" s="5" t="s"/>
      <c r="G149" s="5" t="s"/>
      <c r="H149" s="5" t="s"/>
    </row>
    <row r="150" spans="1:8">
      <c r="A150" s="5" t="s"/>
      <c r="B150" s="5" t="s"/>
      <c r="C150" s="5" t="s"/>
      <c r="D150" s="5" t="s"/>
      <c r="E150" s="5" t="s"/>
      <c r="F150" s="5" t="s"/>
      <c r="G150" s="5" t="s"/>
      <c r="H150" s="5" t="s"/>
    </row>
    <row r="151" spans="1:8">
      <c r="A151" s="5" t="s"/>
      <c r="B151" s="5" t="s"/>
      <c r="C151" s="5" t="s"/>
      <c r="D151" s="5" t="s"/>
      <c r="E151" s="5" t="s"/>
      <c r="F151" s="5" t="s"/>
      <c r="G151" s="5" t="s"/>
      <c r="H151" s="5" t="s"/>
    </row>
    <row r="152" spans="1:8">
      <c r="A152" s="5" t="s"/>
      <c r="B152" s="5" t="s"/>
      <c r="C152" s="5" t="s"/>
      <c r="D152" s="5" t="s"/>
      <c r="E152" s="5" t="s"/>
      <c r="F152" s="5" t="s"/>
      <c r="G152" s="5" t="s"/>
      <c r="H152" s="5" t="s"/>
    </row>
    <row r="153" spans="1:8">
      <c r="A153" s="5" t="s"/>
      <c r="B153" s="5" t="s"/>
      <c r="C153" s="5" t="s"/>
      <c r="D153" s="5" t="s"/>
      <c r="E153" s="5" t="s"/>
      <c r="F153" s="5" t="s"/>
      <c r="G153" s="5" t="s"/>
      <c r="H153" s="5" t="s"/>
    </row>
    <row r="154" spans="1:8">
      <c r="A154" s="5" t="s"/>
      <c r="B154" s="5" t="s"/>
      <c r="C154" s="5" t="s"/>
      <c r="D154" s="5" t="s"/>
      <c r="E154" s="5" t="s"/>
      <c r="F154" s="5" t="s"/>
      <c r="G154" s="5" t="s"/>
      <c r="H154" s="5" t="s"/>
    </row>
    <row r="155" spans="1:8">
      <c r="A155" s="5" t="s"/>
      <c r="B155" s="5" t="s"/>
      <c r="C155" s="5" t="s"/>
      <c r="D155" s="5" t="s"/>
      <c r="E155" s="5" t="s"/>
      <c r="F155" s="5" t="s"/>
      <c r="G155" s="5" t="s"/>
      <c r="H155" s="5" t="s"/>
    </row>
    <row r="156" spans="1:8">
      <c r="A156" s="5" t="s"/>
      <c r="B156" s="5" t="s"/>
      <c r="C156" s="5" t="s"/>
      <c r="D156" s="5" t="s"/>
      <c r="E156" s="5" t="s"/>
      <c r="F156" s="5" t="s"/>
      <c r="G156" s="5" t="s"/>
      <c r="H156" s="5" t="s"/>
    </row>
    <row r="157" spans="1:8">
      <c r="A157" s="5" t="s"/>
      <c r="B157" s="5" t="s"/>
      <c r="C157" s="5" t="s"/>
      <c r="D157" s="5" t="s"/>
      <c r="E157" s="5" t="s"/>
      <c r="F157" s="5" t="s"/>
      <c r="G157" s="5" t="s"/>
      <c r="H157" s="5" t="s"/>
    </row>
    <row r="158" spans="1:8">
      <c r="A158" s="5" t="s"/>
      <c r="B158" s="5" t="s"/>
      <c r="C158" s="5" t="s"/>
      <c r="D158" s="5" t="s"/>
      <c r="E158" s="5" t="s"/>
      <c r="F158" s="5" t="s"/>
      <c r="G158" s="5" t="s"/>
      <c r="H158" s="5" t="s"/>
    </row>
    <row r="159" spans="1:8">
      <c r="A159" s="5" t="s"/>
      <c r="B159" s="5" t="s"/>
      <c r="C159" s="5" t="s"/>
      <c r="D159" s="5" t="s"/>
      <c r="E159" s="5" t="s"/>
      <c r="F159" s="5" t="s"/>
      <c r="G159" s="5" t="s"/>
      <c r="H159" s="5" t="s"/>
    </row>
    <row r="160" spans="1:8">
      <c r="A160" s="5" t="s"/>
      <c r="B160" s="5" t="s"/>
      <c r="C160" s="5" t="s"/>
      <c r="D160" s="5" t="s"/>
      <c r="E160" s="5" t="s"/>
      <c r="F160" s="5" t="s"/>
      <c r="G160" s="5" t="s"/>
      <c r="H160" s="5" t="s"/>
    </row>
    <row r="161" spans="1:8">
      <c r="A161" s="5" t="s"/>
      <c r="B161" s="5" t="s"/>
      <c r="C161" s="5" t="s"/>
      <c r="D161" s="5" t="s"/>
      <c r="E161" s="5" t="s"/>
      <c r="F161" s="5" t="s"/>
      <c r="G161" s="5" t="s"/>
      <c r="H161" s="5" t="s"/>
    </row>
    <row r="162" spans="1:8">
      <c r="A162" s="5" t="s"/>
      <c r="B162" s="5" t="s"/>
      <c r="C162" s="5" t="s"/>
      <c r="D162" s="5" t="s"/>
      <c r="E162" s="5" t="s"/>
      <c r="F162" s="5" t="s"/>
      <c r="G162" s="5" t="s"/>
      <c r="H162" s="5" t="s"/>
    </row>
    <row r="163" spans="1:8">
      <c r="A163" s="5" t="s"/>
      <c r="B163" s="5" t="s"/>
      <c r="C163" s="5" t="s"/>
      <c r="D163" s="5" t="s"/>
      <c r="E163" s="5" t="s"/>
      <c r="F163" s="5" t="s"/>
      <c r="G163" s="5" t="s"/>
      <c r="H163" s="5" t="s"/>
    </row>
    <row r="164" spans="1:8">
      <c r="A164" s="5" t="s"/>
      <c r="B164" s="5" t="s"/>
      <c r="C164" s="5" t="s"/>
      <c r="D164" s="5" t="s"/>
      <c r="E164" s="5" t="s"/>
      <c r="F164" s="5" t="s"/>
      <c r="G164" s="5" t="s"/>
      <c r="H164" s="5" t="s"/>
    </row>
    <row r="165" spans="1:8">
      <c r="A165" s="5" t="s"/>
      <c r="B165" s="5" t="s"/>
      <c r="C165" s="5" t="s"/>
      <c r="D165" s="5" t="s"/>
      <c r="E165" s="5" t="s"/>
      <c r="F165" s="5" t="s"/>
      <c r="G165" s="5" t="s"/>
      <c r="H165" s="5" t="s"/>
    </row>
    <row r="166" spans="1:8">
      <c r="A166" s="5" t="s"/>
      <c r="B166" s="5" t="s"/>
      <c r="C166" s="5" t="s"/>
      <c r="D166" s="5" t="s"/>
      <c r="E166" s="5" t="s"/>
      <c r="F166" s="5" t="s"/>
      <c r="G166" s="5" t="s"/>
      <c r="H166" s="5" t="s"/>
    </row>
    <row r="167" spans="1:8">
      <c r="A167" s="5" t="s"/>
      <c r="B167" s="5" t="s"/>
      <c r="C167" s="5" t="s"/>
      <c r="D167" s="5" t="s"/>
      <c r="E167" s="5" t="s"/>
      <c r="F167" s="5" t="s"/>
      <c r="G167" s="5" t="s"/>
      <c r="H167" s="5" t="s"/>
    </row>
    <row r="168" spans="1:8">
      <c r="A168" s="5" t="s"/>
      <c r="B168" s="5" t="s"/>
      <c r="C168" s="5" t="s"/>
      <c r="D168" s="5" t="s"/>
      <c r="E168" s="5" t="s"/>
      <c r="F168" s="5" t="s"/>
      <c r="G168" s="5" t="s"/>
      <c r="H168" s="5" t="s"/>
    </row>
    <row r="169" spans="1:8">
      <c r="A169" s="5" t="s"/>
      <c r="B169" s="5" t="s"/>
      <c r="C169" s="5" t="s"/>
      <c r="D169" s="5" t="s"/>
      <c r="E169" s="5" t="s"/>
      <c r="F169" s="5" t="s"/>
      <c r="G169" s="5" t="s"/>
      <c r="H169" s="5" t="s"/>
    </row>
    <row r="170" spans="1:8">
      <c r="A170" s="5" t="s"/>
      <c r="B170" s="5" t="s"/>
      <c r="C170" s="5" t="s"/>
      <c r="D170" s="5" t="s"/>
      <c r="E170" s="5" t="s"/>
      <c r="F170" s="5" t="s"/>
      <c r="G170" s="5" t="s"/>
      <c r="H170" s="5" t="s"/>
    </row>
    <row r="171" spans="1:8">
      <c r="A171" s="5" t="s"/>
      <c r="B171" s="5" t="s"/>
      <c r="C171" s="5" t="s"/>
      <c r="D171" s="5" t="s"/>
      <c r="E171" s="5" t="s"/>
      <c r="F171" s="5" t="s"/>
      <c r="G171" s="5" t="s"/>
      <c r="H171" s="5" t="s"/>
    </row>
    <row r="172" spans="1:8">
      <c r="A172" s="5" t="s"/>
      <c r="B172" s="5" t="s"/>
      <c r="C172" s="5" t="s"/>
      <c r="D172" s="5" t="s"/>
      <c r="E172" s="5" t="s"/>
      <c r="F172" s="5" t="s"/>
      <c r="G172" s="5" t="s"/>
      <c r="H172" s="5" t="s"/>
    </row>
    <row r="173" spans="1:8">
      <c r="A173" s="5" t="s"/>
      <c r="B173" s="5" t="s"/>
      <c r="C173" s="5" t="s"/>
      <c r="D173" s="5" t="s"/>
      <c r="E173" s="5" t="s"/>
      <c r="F173" s="5" t="s"/>
      <c r="G173" s="5" t="s"/>
      <c r="H173" s="5" t="s"/>
    </row>
    <row r="174" spans="1:8">
      <c r="A174" s="5" t="s"/>
      <c r="B174" s="5" t="s"/>
      <c r="C174" s="5" t="s"/>
      <c r="D174" s="5" t="s"/>
      <c r="E174" s="5" t="s"/>
      <c r="F174" s="5" t="s"/>
      <c r="G174" s="5" t="s"/>
      <c r="H174" s="5" t="s"/>
    </row>
    <row r="175" spans="1:8">
      <c r="A175" s="5" t="s"/>
      <c r="B175" s="5" t="s"/>
      <c r="C175" s="5" t="s"/>
      <c r="D175" s="5" t="s"/>
      <c r="E175" s="5" t="s"/>
      <c r="F175" s="5" t="s"/>
      <c r="G175" s="5" t="s"/>
      <c r="H175" s="5" t="s"/>
    </row>
    <row r="176" spans="1:8">
      <c r="A176" s="5" t="s"/>
      <c r="B176" s="5" t="s"/>
      <c r="C176" s="5" t="s"/>
      <c r="D176" s="5" t="s"/>
      <c r="E176" s="5" t="s"/>
      <c r="F176" s="5" t="s"/>
      <c r="G176" s="5" t="s"/>
      <c r="H176" s="5" t="s"/>
    </row>
    <row r="177" spans="1:8">
      <c r="A177" s="5" t="s"/>
      <c r="B177" s="5" t="s"/>
      <c r="C177" s="5" t="s"/>
      <c r="D177" s="5" t="s"/>
      <c r="E177" s="5" t="s"/>
      <c r="F177" s="5" t="s"/>
      <c r="G177" s="5" t="s"/>
      <c r="H177" s="5" t="s"/>
    </row>
    <row r="178" spans="1:8">
      <c r="A178" s="5" t="s"/>
      <c r="B178" s="5" t="s"/>
      <c r="C178" s="5" t="s"/>
      <c r="D178" s="5" t="s"/>
      <c r="E178" s="5" t="s"/>
      <c r="F178" s="5" t="s"/>
      <c r="G178" s="5" t="s"/>
      <c r="H178" s="5" t="s"/>
    </row>
    <row r="179" spans="1:8">
      <c r="A179" s="5" t="s"/>
      <c r="B179" s="5" t="s"/>
      <c r="C179" s="5" t="s"/>
      <c r="D179" s="5" t="s"/>
      <c r="E179" s="5" t="s"/>
      <c r="F179" s="5" t="s"/>
      <c r="G179" s="5" t="s"/>
      <c r="H179" s="5" t="s"/>
    </row>
    <row r="180" spans="1:8">
      <c r="A180" s="5" t="s"/>
      <c r="B180" s="5" t="s"/>
      <c r="C180" s="5" t="s"/>
      <c r="D180" s="5" t="s"/>
      <c r="E180" s="5" t="s"/>
      <c r="F180" s="5" t="s"/>
      <c r="G180" s="5" t="s"/>
      <c r="H180" s="5" t="s"/>
    </row>
    <row r="181" spans="1:8">
      <c r="A181" s="5" t="s"/>
      <c r="B181" s="5" t="s"/>
      <c r="C181" s="5" t="s"/>
      <c r="D181" s="5" t="s"/>
      <c r="E181" s="5" t="s"/>
      <c r="F181" s="5" t="s"/>
      <c r="G181" s="5" t="s"/>
      <c r="H181" s="5" t="s"/>
    </row>
    <row r="182" spans="1:8">
      <c r="A182" s="5" t="s"/>
      <c r="B182" s="5" t="s"/>
      <c r="C182" s="5" t="s"/>
      <c r="D182" s="5" t="s"/>
      <c r="E182" s="5" t="s"/>
      <c r="F182" s="5" t="s"/>
      <c r="G182" s="5" t="s"/>
      <c r="H182" s="5" t="s"/>
    </row>
    <row r="183" spans="1:8">
      <c r="A183" s="5" t="s"/>
      <c r="B183" s="5" t="s"/>
      <c r="C183" s="5" t="s"/>
      <c r="D183" s="5" t="s"/>
      <c r="E183" s="5" t="s"/>
      <c r="F183" s="5" t="s"/>
      <c r="G183" s="5" t="s"/>
      <c r="H183" s="5" t="s"/>
    </row>
    <row r="184" spans="1:8">
      <c r="A184" s="5" t="s"/>
      <c r="B184" s="5" t="s"/>
      <c r="C184" s="5" t="s"/>
      <c r="D184" s="5" t="s"/>
      <c r="E184" s="5" t="s"/>
      <c r="F184" s="5" t="s"/>
      <c r="G184" s="5" t="s"/>
      <c r="H184" s="5" t="s"/>
    </row>
    <row r="185" spans="1:8">
      <c r="A185" s="5" t="s"/>
      <c r="B185" s="5" t="s"/>
      <c r="C185" s="5" t="s"/>
      <c r="D185" s="5" t="s"/>
      <c r="E185" s="5" t="s"/>
      <c r="F185" s="5" t="s"/>
      <c r="G185" s="5" t="s"/>
      <c r="H185" s="5" t="s"/>
    </row>
    <row r="186" spans="1:8">
      <c r="A186" s="5" t="s"/>
      <c r="B186" s="5" t="s"/>
      <c r="C186" s="5" t="s"/>
      <c r="D186" s="5" t="s"/>
      <c r="E186" s="5" t="s"/>
      <c r="F186" s="5" t="s"/>
      <c r="G186" s="5" t="s"/>
      <c r="H186" s="5" t="s"/>
    </row>
    <row r="187" spans="1:8">
      <c r="A187" s="5" t="s"/>
      <c r="B187" s="5" t="s"/>
      <c r="C187" s="5" t="s"/>
      <c r="D187" s="5" t="s"/>
      <c r="E187" s="5" t="s"/>
      <c r="F187" s="5" t="s"/>
      <c r="G187" s="5" t="s"/>
      <c r="H187" s="5" t="s"/>
    </row>
    <row r="188" spans="1:8">
      <c r="A188" s="5" t="s"/>
      <c r="B188" s="5" t="s"/>
      <c r="C188" s="5" t="s"/>
      <c r="D188" s="5" t="s"/>
      <c r="E188" s="5" t="s"/>
      <c r="F188" s="5" t="s"/>
      <c r="G188" s="5" t="s"/>
      <c r="H188" s="5" t="s"/>
    </row>
    <row r="189" spans="1:8">
      <c r="A189" s="5" t="s"/>
      <c r="B189" s="5" t="s"/>
      <c r="C189" s="5" t="s"/>
      <c r="D189" s="5" t="s"/>
      <c r="E189" s="5" t="s"/>
      <c r="F189" s="5" t="s"/>
      <c r="G189" s="5" t="s"/>
      <c r="H189" s="5" t="s"/>
    </row>
    <row r="190" spans="1:8">
      <c r="A190" s="5" t="s"/>
      <c r="B190" s="5" t="s"/>
      <c r="C190" s="5" t="s"/>
      <c r="D190" s="5" t="s"/>
      <c r="E190" s="5" t="s"/>
      <c r="F190" s="5" t="s"/>
      <c r="G190" s="5" t="s"/>
      <c r="H190" s="5" t="s"/>
    </row>
    <row r="191" spans="1:8">
      <c r="A191" s="5" t="s"/>
      <c r="B191" s="5" t="s"/>
      <c r="C191" s="5" t="s"/>
      <c r="D191" s="5" t="s"/>
      <c r="E191" s="5" t="s"/>
      <c r="F191" s="5" t="s"/>
      <c r="G191" s="5" t="s"/>
      <c r="H191" s="5" t="s"/>
    </row>
    <row r="192" spans="1:8">
      <c r="A192" s="5" t="s"/>
      <c r="B192" s="5" t="s"/>
      <c r="C192" s="5" t="s"/>
      <c r="D192" s="5" t="s"/>
      <c r="E192" s="5" t="s"/>
      <c r="F192" s="5" t="s"/>
      <c r="G192" s="5" t="s"/>
      <c r="H192" s="5" t="s"/>
    </row>
    <row r="193" spans="1:8">
      <c r="A193" s="5" t="s"/>
      <c r="B193" s="5" t="s"/>
      <c r="C193" s="5" t="s"/>
      <c r="D193" s="5" t="s"/>
      <c r="E193" s="5" t="s"/>
      <c r="F193" s="5" t="s"/>
      <c r="G193" s="5" t="s"/>
      <c r="H193" s="5" t="s"/>
    </row>
    <row r="194" spans="1:8">
      <c r="A194" s="5" t="s"/>
      <c r="B194" s="5" t="s"/>
      <c r="C194" s="5" t="s"/>
      <c r="D194" s="5" t="s"/>
      <c r="E194" s="5" t="s"/>
      <c r="F194" s="5" t="s"/>
      <c r="G194" s="5" t="s"/>
      <c r="H194" s="5" t="s"/>
    </row>
    <row r="195" spans="1:8">
      <c r="A195" s="5" t="s"/>
      <c r="B195" s="5" t="s"/>
      <c r="C195" s="5" t="s"/>
      <c r="D195" s="5" t="s"/>
      <c r="E195" s="5" t="s"/>
      <c r="F195" s="5" t="s"/>
      <c r="G195" s="5" t="s"/>
      <c r="H195" s="5" t="s"/>
    </row>
    <row r="196" spans="1:8">
      <c r="A196" s="5" t="s"/>
      <c r="B196" s="5" t="s"/>
      <c r="C196" s="5" t="s"/>
      <c r="D196" s="5" t="s"/>
      <c r="E196" s="5" t="s"/>
      <c r="F196" s="5" t="s"/>
      <c r="G196" s="5" t="s"/>
      <c r="H196" s="5" t="s"/>
    </row>
    <row r="197" spans="1:8">
      <c r="A197" s="5" t="s"/>
      <c r="B197" s="5" t="s"/>
      <c r="C197" s="5" t="s"/>
      <c r="D197" s="5" t="s"/>
      <c r="E197" s="5" t="s"/>
      <c r="F197" s="5" t="s"/>
      <c r="G197" s="5" t="s"/>
      <c r="H197" s="5" t="s"/>
    </row>
    <row r="198" spans="1:8">
      <c r="A198" s="5" t="s"/>
      <c r="B198" s="5" t="s"/>
      <c r="C198" s="5" t="s"/>
      <c r="D198" s="5" t="s"/>
      <c r="E198" s="5" t="s"/>
      <c r="F198" s="5" t="s"/>
      <c r="G198" s="5" t="s"/>
      <c r="H198" s="5" t="s"/>
    </row>
    <row r="199" spans="1:8">
      <c r="A199" s="5" t="s"/>
      <c r="B199" s="5" t="s"/>
      <c r="C199" s="5" t="s"/>
      <c r="D199" s="5" t="s"/>
      <c r="E199" s="5" t="s"/>
      <c r="F199" s="5" t="s"/>
      <c r="G199" s="5" t="s"/>
      <c r="H199" s="5" t="s"/>
    </row>
    <row r="200" spans="1:8">
      <c r="A200" s="5" t="s"/>
      <c r="B200" s="5" t="s"/>
      <c r="C200" s="5" t="s"/>
      <c r="D200" s="5" t="s"/>
      <c r="E200" s="5" t="s"/>
      <c r="F200" s="5" t="s"/>
      <c r="G200" s="5" t="s"/>
      <c r="H200" s="5" t="s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>
    <outlinePr summaryBelow="0" summaryRight="0"/>
  </sheetPr>
  <dimension ref="S200"/>
  <sheetViews>
    <sheetView showGridLines="0" workbookViewId="0">
      <pane xSplit="2" ySplit="1" topLeftCell="C2" activePane="bottomRight" state="frozen"/>
    </sheetView>
  </sheetViews>
  <sheetFormatPr defaultColWidth="8" defaultRowHeight="14.25"/>
  <cols>
    <col min="1" max="1" width="5" customWidth="1"/>
    <col min="2" max="2" width="7" customWidth="1"/>
    <col min="3" max="3" width="20" customWidth="1"/>
    <col min="4" max="4" width="14" customWidth="1"/>
    <col min="5" max="5" width="11" customWidth="1"/>
    <col min="6" max="6" width="12" customWidth="1"/>
    <col min="7" max="7" width="13" customWidth="1"/>
    <col min="8" max="9" width="7" customWidth="1"/>
    <col min="10" max="11" width="12" customWidth="1"/>
    <col min="12" max="12" width="13.875" customWidth="1"/>
    <col min="13" max="13" width="10" customWidth="1"/>
    <col min="14" max="14" width="31.5417" customWidth="1"/>
    <col min="15" max="15" width="10" customWidth="1"/>
    <col min="16" max="16" width="9" customWidth="1"/>
    <col min="17" max="17" width="24" customWidth="1"/>
    <col min="18" max="18" width="12" customWidth="1"/>
    <col min="19" max="19" width="16" customWidth="1"/>
  </cols>
  <sheetData>
    <row r="1" spans="1:22" ht="29.25" customHeight="1">
      <c r="A1" s="4" t="s">
        <v>1</v>
      </c>
      <c r="B1" s="4" t="s">
        <v>63</v>
      </c>
      <c r="C1" s="4" t="s">
        <v>3</v>
      </c>
      <c r="D1" s="4" t="s">
        <v>64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65</v>
      </c>
      <c r="J1" s="4" t="s">
        <v>9</v>
      </c>
      <c r="K1" s="4" t="s">
        <v>10</v>
      </c>
      <c r="L1" s="4" t="s">
        <v>11</v>
      </c>
      <c r="M1" s="4" t="s">
        <v>66</v>
      </c>
      <c r="N1" s="4" t="s">
        <v>67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</row>
    <row r="2" spans="1:22" ht="57">
      <c r="A2" s="6">
        <v>1</v>
      </c>
      <c r="B2" s="6" t="s">
        <v>68</v>
      </c>
      <c r="C2" s="7" t="s">
        <v>69</v>
      </c>
      <c r="D2" s="7" t="s">
        <v>70</v>
      </c>
      <c r="E2" s="7" t="s"/>
      <c r="F2" s="7" t="s"/>
      <c r="G2" s="7" t="s"/>
      <c r="H2" s="6" t="s">
        <v>22</v>
      </c>
      <c r="I2" s="6" t="s">
        <v>71</v>
      </c>
      <c r="J2" s="6" t="s">
        <v>24</v>
      </c>
      <c r="K2" s="6" t="s">
        <v>49</v>
      </c>
      <c r="L2" s="6">
        <v>0</v>
      </c>
      <c r="M2" s="6" t="s">
        <v>72</v>
      </c>
      <c r="N2" s="7" t="s">
        <v>73</v>
      </c>
      <c r="O2" s="8">
        <v>0</v>
      </c>
      <c r="P2" s="6" t="s">
        <f>=IF(O2=0,"待启动",IF(O2&gt;=1,"已完成",IF(O2&gt;=0.5,"进行中","推进中")))</f>
        <v>26</v>
      </c>
      <c r="Q2" s="7" t="s">
        <v>32</v>
      </c>
      <c r="R2" s="6" t="s"/>
      <c r="S2" s="7" t="s"/>
      <c r="T2" s="7" t="s"/>
      <c r="U2" s="7" t="s">
        <v>27</v>
      </c>
      <c r="V2" s="7" t="s">
        <v>74</v>
      </c>
    </row>
    <row r="3" spans="1:22" ht="57">
      <c r="A3" s="6">
        <v>2</v>
      </c>
      <c r="B3" s="6" t="s">
        <v>68</v>
      </c>
      <c r="C3" s="7" t="s">
        <v>69</v>
      </c>
      <c r="D3" s="7" t="s">
        <v>75</v>
      </c>
      <c r="E3" s="7" t="s"/>
      <c r="F3" s="7" t="s"/>
      <c r="G3" s="7" t="s"/>
      <c r="H3" s="6" t="s">
        <v>22</v>
      </c>
      <c r="I3" s="6" t="s">
        <v>71</v>
      </c>
      <c r="J3" s="6" t="s">
        <v>24</v>
      </c>
      <c r="K3" s="6" t="s">
        <v>49</v>
      </c>
      <c r="L3" s="6">
        <v>0</v>
      </c>
      <c r="M3" s="6" t="s">
        <v>72</v>
      </c>
      <c r="N3" s="7" t="s">
        <v>76</v>
      </c>
      <c r="O3" s="8">
        <v>0</v>
      </c>
      <c r="P3" s="6" t="s">
        <f>=IF(O3=0,"待启动",IF(O3&gt;=1,"已完成",IF(O3&gt;=0.5,"进行中","推进中")))</f>
        <v>26</v>
      </c>
      <c r="Q3" s="7" t="s">
        <v>32</v>
      </c>
      <c r="R3" s="6" t="s"/>
      <c r="S3" s="7" t="s"/>
      <c r="T3" s="7" t="s"/>
      <c r="U3" s="7" t="s">
        <v>27</v>
      </c>
      <c r="V3" s="7" t="s">
        <v>74</v>
      </c>
    </row>
    <row r="4" spans="1:22" ht="57">
      <c r="A4" s="6">
        <v>3</v>
      </c>
      <c r="B4" s="6" t="s">
        <v>68</v>
      </c>
      <c r="C4" s="7" t="s">
        <v>69</v>
      </c>
      <c r="D4" s="7" t="s">
        <v>77</v>
      </c>
      <c r="E4" s="7" t="s"/>
      <c r="F4" s="7" t="s"/>
      <c r="G4" s="7" t="s"/>
      <c r="H4" s="6" t="s">
        <v>30</v>
      </c>
      <c r="I4" s="6" t="s">
        <v>71</v>
      </c>
      <c r="J4" s="6" t="s">
        <v>32</v>
      </c>
      <c r="K4" s="6" t="s">
        <v>33</v>
      </c>
      <c r="L4" s="6">
        <v>0</v>
      </c>
      <c r="M4" s="6" t="s">
        <v>72</v>
      </c>
      <c r="N4" s="7" t="s">
        <v>78</v>
      </c>
      <c r="O4" s="8">
        <v>0</v>
      </c>
      <c r="P4" s="6" t="s">
        <f>=IF(O4=0,"待启动",IF(O4&gt;=1,"已完成",IF(O4&gt;=0.5,"进行中","推进中")))</f>
        <v>26</v>
      </c>
      <c r="Q4" s="7" t="s">
        <v>79</v>
      </c>
      <c r="R4" s="6" t="s"/>
      <c r="S4" s="7" t="s"/>
      <c r="T4" s="7" t="s"/>
      <c r="U4" s="7" t="s">
        <v>27</v>
      </c>
      <c r="V4" s="7" t="s">
        <v>74</v>
      </c>
    </row>
    <row r="5" spans="1:22" ht="57">
      <c r="A5" s="6">
        <v>4</v>
      </c>
      <c r="B5" s="6" t="s">
        <v>68</v>
      </c>
      <c r="C5" s="7" t="s">
        <v>80</v>
      </c>
      <c r="D5" s="7" t="s">
        <v>81</v>
      </c>
      <c r="E5" s="7" t="s"/>
      <c r="F5" s="7" t="s"/>
      <c r="G5" s="7" t="s"/>
      <c r="H5" s="6" t="s">
        <v>22</v>
      </c>
      <c r="I5" s="6" t="s">
        <v>71</v>
      </c>
      <c r="J5" s="6" t="s">
        <v>24</v>
      </c>
      <c r="K5" s="6" t="s">
        <v>49</v>
      </c>
      <c r="L5" s="6">
        <v>0</v>
      </c>
      <c r="M5" s="6" t="s">
        <v>72</v>
      </c>
      <c r="N5" s="7" t="s">
        <v>82</v>
      </c>
      <c r="O5" s="8">
        <v>0</v>
      </c>
      <c r="P5" s="6" t="s">
        <f>=IF(O5=0,"待启动",IF(O5&gt;=1,"已完成",IF(O5&gt;=0.5,"进行中","推进中")))</f>
        <v>26</v>
      </c>
      <c r="Q5" s="7" t="s">
        <v>32</v>
      </c>
      <c r="R5" s="6" t="s"/>
      <c r="S5" s="7" t="s"/>
      <c r="T5" s="7" t="s"/>
      <c r="U5" s="7" t="s">
        <v>27</v>
      </c>
      <c r="V5" s="7" t="s">
        <v>74</v>
      </c>
    </row>
    <row r="6" spans="1:22" ht="57">
      <c r="A6" s="6">
        <v>5</v>
      </c>
      <c r="B6" s="6" t="s">
        <v>68</v>
      </c>
      <c r="C6" s="7" t="s">
        <v>83</v>
      </c>
      <c r="D6" s="7" t="s">
        <v>84</v>
      </c>
      <c r="E6" s="7" t="s"/>
      <c r="F6" s="7" t="s"/>
      <c r="G6" s="7" t="s"/>
      <c r="H6" s="6" t="s">
        <v>30</v>
      </c>
      <c r="I6" s="6" t="s">
        <v>71</v>
      </c>
      <c r="J6" s="6" t="s">
        <v>79</v>
      </c>
      <c r="K6" s="6" t="s">
        <v>62</v>
      </c>
      <c r="L6" s="6">
        <v>0</v>
      </c>
      <c r="M6" s="6" t="s">
        <v>72</v>
      </c>
      <c r="N6" s="7" t="s">
        <v>85</v>
      </c>
      <c r="O6" s="8">
        <v>0</v>
      </c>
      <c r="P6" s="6" t="s">
        <f>=IF(O6=0,"待启动",IF(O6&gt;=1,"已完成",IF(O6&gt;=0.5,"进行中","推进中")))</f>
        <v>26</v>
      </c>
      <c r="Q6" s="7" t="s">
        <v>41</v>
      </c>
      <c r="R6" s="6" t="s"/>
      <c r="S6" s="7" t="s"/>
      <c r="T6" s="7" t="s"/>
      <c r="U6" s="7" t="s">
        <v>27</v>
      </c>
      <c r="V6" s="7" t="s">
        <v>74</v>
      </c>
    </row>
    <row r="7" spans="1:22" ht="57">
      <c r="A7" s="6">
        <v>6</v>
      </c>
      <c r="B7" s="6" t="s">
        <v>86</v>
      </c>
      <c r="C7" s="7" t="s">
        <v>87</v>
      </c>
      <c r="D7" s="7" t="s">
        <v>88</v>
      </c>
      <c r="E7" s="7" t="s"/>
      <c r="F7" s="7" t="s"/>
      <c r="G7" s="7" t="s"/>
      <c r="H7" s="6" t="s">
        <v>22</v>
      </c>
      <c r="I7" s="6" t="s">
        <v>89</v>
      </c>
      <c r="J7" s="6" t="s">
        <v>24</v>
      </c>
      <c r="K7" s="6" t="s">
        <v>79</v>
      </c>
      <c r="L7" s="6">
        <v>0</v>
      </c>
      <c r="M7" s="6" t="s">
        <v>72</v>
      </c>
      <c r="N7" s="7" t="s">
        <v>90</v>
      </c>
      <c r="O7" s="8">
        <v>0</v>
      </c>
      <c r="P7" s="6" t="s">
        <f>=IF(O7=0,"待启动",IF(O7&gt;=1,"已完成",IF(O7&gt;=0.5,"进行中","推进中")))</f>
        <v>26</v>
      </c>
      <c r="Q7" s="7" t="s">
        <v>32</v>
      </c>
      <c r="R7" s="6" t="s"/>
      <c r="S7" s="7" t="s"/>
      <c r="T7" s="7" t="s"/>
      <c r="U7" s="7" t="s">
        <v>27</v>
      </c>
      <c r="V7" s="7" t="s">
        <v>74</v>
      </c>
    </row>
    <row r="8" spans="1:22" ht="57">
      <c r="A8" s="6">
        <v>7</v>
      </c>
      <c r="B8" s="6" t="s">
        <v>86</v>
      </c>
      <c r="C8" s="7" t="s">
        <v>91</v>
      </c>
      <c r="D8" s="7" t="s">
        <v>88</v>
      </c>
      <c r="E8" s="7" t="s"/>
      <c r="F8" s="7" t="s"/>
      <c r="G8" s="7" t="s"/>
      <c r="H8" s="6" t="s">
        <v>22</v>
      </c>
      <c r="I8" s="6" t="s">
        <v>92</v>
      </c>
      <c r="J8" s="6" t="s">
        <v>24</v>
      </c>
      <c r="K8" s="6" t="s">
        <v>79</v>
      </c>
      <c r="L8" s="6">
        <v>0</v>
      </c>
      <c r="M8" s="6" t="s">
        <v>72</v>
      </c>
      <c r="N8" s="7" t="s">
        <v>93</v>
      </c>
      <c r="O8" s="8">
        <v>0</v>
      </c>
      <c r="P8" s="6" t="s">
        <f>=IF(O8=0,"待启动",IF(O8&gt;=1,"已完成",IF(O8&gt;=0.5,"进行中","推进中")))</f>
        <v>26</v>
      </c>
      <c r="Q8" s="7" t="s">
        <v>32</v>
      </c>
      <c r="R8" s="6" t="s"/>
      <c r="S8" s="7" t="s"/>
      <c r="T8" s="7" t="s"/>
      <c r="U8" s="7" t="s">
        <v>27</v>
      </c>
      <c r="V8" s="7" t="s">
        <v>74</v>
      </c>
    </row>
    <row r="9" spans="1:22" ht="57">
      <c r="A9" s="6">
        <v>8</v>
      </c>
      <c r="B9" s="6" t="s">
        <v>86</v>
      </c>
      <c r="C9" s="7" t="s">
        <v>94</v>
      </c>
      <c r="D9" s="7" t="s">
        <v>88</v>
      </c>
      <c r="E9" s="7" t="s"/>
      <c r="F9" s="7" t="s"/>
      <c r="G9" s="7" t="s"/>
      <c r="H9" s="6" t="s">
        <v>22</v>
      </c>
      <c r="I9" s="6" t="s">
        <v>95</v>
      </c>
      <c r="J9" s="6" t="s">
        <v>24</v>
      </c>
      <c r="K9" s="6" t="s">
        <v>79</v>
      </c>
      <c r="L9" s="6">
        <v>0</v>
      </c>
      <c r="M9" s="6" t="s">
        <v>72</v>
      </c>
      <c r="N9" s="7" t="s">
        <v>96</v>
      </c>
      <c r="O9" s="8">
        <v>0</v>
      </c>
      <c r="P9" s="6" t="s">
        <f>=IF(O9=0,"待启动",IF(O9&gt;=1,"已完成",IF(O9&gt;=0.5,"进行中","推进中")))</f>
        <v>26</v>
      </c>
      <c r="Q9" s="7" t="s">
        <v>32</v>
      </c>
      <c r="R9" s="6" t="s"/>
      <c r="S9" s="7" t="s"/>
      <c r="T9" s="7" t="s"/>
      <c r="U9" s="7" t="s">
        <v>27</v>
      </c>
      <c r="V9" s="7" t="s">
        <v>74</v>
      </c>
    </row>
    <row r="10" spans="1:22" ht="57">
      <c r="A10" s="6">
        <v>9</v>
      </c>
      <c r="B10" s="6" t="s">
        <v>86</v>
      </c>
      <c r="C10" s="7" t="s">
        <v>97</v>
      </c>
      <c r="D10" s="7" t="s">
        <v>88</v>
      </c>
      <c r="E10" s="7" t="s"/>
      <c r="F10" s="7" t="s"/>
      <c r="G10" s="7" t="s"/>
      <c r="H10" s="6" t="s">
        <v>30</v>
      </c>
      <c r="I10" s="6" t="s">
        <v>98</v>
      </c>
      <c r="J10" s="6" t="s">
        <v>32</v>
      </c>
      <c r="K10" s="6" t="s">
        <v>49</v>
      </c>
      <c r="L10" s="6">
        <v>0</v>
      </c>
      <c r="M10" s="6" t="s">
        <v>72</v>
      </c>
      <c r="N10" s="7" t="s">
        <v>99</v>
      </c>
      <c r="O10" s="8">
        <v>0</v>
      </c>
      <c r="P10" s="6" t="s">
        <f>=IF(O10=0,"待启动",IF(O10&gt;=1,"已完成",IF(O10&gt;=0.5,"进行中","推进中")))</f>
        <v>26</v>
      </c>
      <c r="Q10" s="7" t="s">
        <v>36</v>
      </c>
      <c r="R10" s="6" t="s"/>
      <c r="S10" s="7" t="s"/>
      <c r="T10" s="7" t="s"/>
      <c r="U10" s="7" t="s">
        <v>27</v>
      </c>
      <c r="V10" s="7" t="s">
        <v>74</v>
      </c>
    </row>
    <row r="11" spans="1:22" ht="57">
      <c r="A11" s="6">
        <v>10</v>
      </c>
      <c r="B11" s="6" t="s">
        <v>86</v>
      </c>
      <c r="C11" s="7" t="s">
        <v>100</v>
      </c>
      <c r="D11" s="7" t="s">
        <v>101</v>
      </c>
      <c r="E11" s="7" t="s"/>
      <c r="F11" s="7" t="s"/>
      <c r="G11" s="7" t="s"/>
      <c r="H11" s="6" t="s">
        <v>30</v>
      </c>
      <c r="I11" s="6" t="s">
        <v>71</v>
      </c>
      <c r="J11" s="6" t="s">
        <v>32</v>
      </c>
      <c r="K11" s="6" t="s">
        <v>25</v>
      </c>
      <c r="L11" s="6">
        <v>0</v>
      </c>
      <c r="M11" s="6" t="s">
        <v>72</v>
      </c>
      <c r="N11" s="7" t="s">
        <v>102</v>
      </c>
      <c r="O11" s="8">
        <v>0</v>
      </c>
      <c r="P11" s="6" t="s">
        <f>=IF(O11=0,"待启动",IF(O11&gt;=1,"已完成",IF(O11&gt;=0.5,"进行中","推进中")))</f>
        <v>26</v>
      </c>
      <c r="Q11" s="7" t="s">
        <v>79</v>
      </c>
      <c r="R11" s="6" t="s"/>
      <c r="S11" s="7" t="s"/>
      <c r="T11" s="7" t="s"/>
      <c r="U11" s="7" t="s">
        <v>27</v>
      </c>
      <c r="V11" s="7" t="s">
        <v>74</v>
      </c>
    </row>
    <row r="12" spans="1:22" ht="57">
      <c r="A12" s="6">
        <v>11</v>
      </c>
      <c r="B12" s="6" t="s">
        <v>86</v>
      </c>
      <c r="C12" s="7" t="s">
        <v>103</v>
      </c>
      <c r="D12" s="7" t="s">
        <v>88</v>
      </c>
      <c r="E12" s="7" t="s"/>
      <c r="F12" s="7" t="s"/>
      <c r="G12" s="7" t="s"/>
      <c r="H12" s="6" t="s">
        <v>30</v>
      </c>
      <c r="I12" s="6" t="s">
        <v>104</v>
      </c>
      <c r="J12" s="6" t="s">
        <v>36</v>
      </c>
      <c r="K12" s="6" t="s">
        <v>41</v>
      </c>
      <c r="L12" s="6">
        <v>0</v>
      </c>
      <c r="M12" s="6" t="s">
        <v>72</v>
      </c>
      <c r="N12" s="7" t="s">
        <v>105</v>
      </c>
      <c r="O12" s="8">
        <v>0</v>
      </c>
      <c r="P12" s="6" t="s">
        <f>=IF(O12=0,"待启动",IF(O12&gt;=1,"已完成",IF(O12&gt;=0.5,"进行中","推进中")))</f>
        <v>26</v>
      </c>
      <c r="Q12" s="7" t="s">
        <v>79</v>
      </c>
      <c r="R12" s="6" t="s"/>
      <c r="S12" s="7" t="s"/>
      <c r="T12" s="7" t="s"/>
      <c r="U12" s="7" t="s">
        <v>27</v>
      </c>
      <c r="V12" s="7" t="s">
        <v>74</v>
      </c>
    </row>
    <row r="13" spans="1:22" ht="57">
      <c r="A13" s="6">
        <v>12</v>
      </c>
      <c r="B13" s="6" t="s">
        <v>86</v>
      </c>
      <c r="C13" s="7" t="s">
        <v>106</v>
      </c>
      <c r="D13" s="7" t="s">
        <v>88</v>
      </c>
      <c r="E13" s="7" t="s"/>
      <c r="F13" s="7" t="s"/>
      <c r="G13" s="7" t="s"/>
      <c r="H13" s="6" t="s">
        <v>30</v>
      </c>
      <c r="I13" s="6" t="s">
        <v>107</v>
      </c>
      <c r="J13" s="6" t="s">
        <v>36</v>
      </c>
      <c r="K13" s="6" t="s">
        <v>41</v>
      </c>
      <c r="L13" s="6">
        <v>0</v>
      </c>
      <c r="M13" s="6" t="s">
        <v>72</v>
      </c>
      <c r="N13" s="7" t="s">
        <v>108</v>
      </c>
      <c r="O13" s="8">
        <v>0</v>
      </c>
      <c r="P13" s="6" t="s">
        <f>=IF(O13=0,"待启动",IF(O13&gt;=1,"已完成",IF(O13&gt;=0.5,"进行中","推进中")))</f>
        <v>26</v>
      </c>
      <c r="Q13" s="7" t="s">
        <v>79</v>
      </c>
      <c r="R13" s="6" t="s"/>
      <c r="S13" s="7" t="s"/>
      <c r="T13" s="7" t="s"/>
      <c r="U13" s="7" t="s">
        <v>27</v>
      </c>
      <c r="V13" s="7" t="s">
        <v>74</v>
      </c>
    </row>
    <row r="14" spans="1:19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</row>
    <row r="15" spans="1:19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</row>
    <row r="16" spans="1:19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</row>
    <row r="17" spans="1:19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</row>
    <row r="18" spans="1:19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</row>
    <row r="19" spans="1:19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</row>
    <row r="20" spans="1:19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</row>
    <row r="21" spans="1:19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</row>
    <row r="22" spans="1:19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</row>
    <row r="23" spans="1:19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</row>
    <row r="24" spans="1:19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</row>
    <row r="25" spans="1:19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</row>
    <row r="26" spans="1:19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</row>
    <row r="27" spans="1:19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</row>
    <row r="28" spans="1:19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</row>
    <row r="29" spans="1:19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</row>
    <row r="30" spans="1:19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</row>
    <row r="31" spans="1:19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</row>
    <row r="32" spans="1:19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</row>
    <row r="33" spans="1:19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</row>
    <row r="34" spans="1:19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</row>
    <row r="35" spans="1:19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</row>
    <row r="36" spans="1:19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</row>
    <row r="37" spans="1:19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</row>
    <row r="38" spans="1:19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</row>
    <row r="39" spans="1:19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</row>
    <row r="40" spans="1:19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</row>
    <row r="41" spans="1:19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</row>
    <row r="42" spans="1:19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</row>
    <row r="43" spans="1:19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</row>
    <row r="44" spans="1:19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</row>
    <row r="45" spans="1:19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</row>
    <row r="46" spans="1:19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</row>
    <row r="47" spans="1:19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</row>
    <row r="48" spans="1:19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</row>
    <row r="49" spans="1:19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</row>
    <row r="50" spans="1:19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</row>
    <row r="51" spans="1:19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</row>
    <row r="52" spans="1:19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</row>
    <row r="53" spans="1:19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</row>
    <row r="54" spans="1:19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</row>
    <row r="55" spans="1:19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</row>
    <row r="56" spans="1:19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</row>
    <row r="57" spans="1:19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</row>
    <row r="58" spans="1:19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</row>
    <row r="59" spans="1:19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</row>
    <row r="60" spans="1:19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</row>
    <row r="61" spans="1:19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</row>
    <row r="62" spans="1:19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</row>
    <row r="63" spans="1:19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</row>
    <row r="64" spans="1:19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</row>
    <row r="65" spans="1:19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</row>
    <row r="66" spans="1:19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</row>
    <row r="67" spans="1:19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</row>
    <row r="68" spans="1:19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</row>
    <row r="69" spans="1:19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</row>
    <row r="70" spans="1:19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</row>
    <row r="71" spans="1:19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</row>
    <row r="72" spans="1:19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</row>
    <row r="73" spans="1:19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</row>
    <row r="74" spans="1:19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</row>
    <row r="75" spans="1:19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</row>
    <row r="76" spans="1:19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</row>
    <row r="77" spans="1:19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</row>
    <row r="78" spans="1:19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</row>
    <row r="79" spans="1:19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</row>
    <row r="80" spans="1:19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</row>
    <row r="81" spans="1:19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</row>
    <row r="82" spans="1:19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</row>
    <row r="83" spans="1:19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</row>
    <row r="84" spans="1:19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</row>
    <row r="85" spans="1:19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</row>
    <row r="86" spans="1:19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</row>
    <row r="87" spans="1:19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</row>
    <row r="88" spans="1:19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</row>
    <row r="89" spans="1:19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</row>
    <row r="90" spans="1:19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</row>
    <row r="91" spans="1:19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</row>
    <row r="92" spans="1:19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</row>
    <row r="93" spans="1:19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</row>
    <row r="94" spans="1:19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</row>
    <row r="95" spans="1:19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</row>
    <row r="96" spans="1:19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</row>
    <row r="97" spans="1:19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</row>
    <row r="98" spans="1:19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</row>
    <row r="99" spans="1:19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</row>
    <row r="100" spans="1:19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</row>
    <row r="101" spans="1:19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</row>
    <row r="102" spans="1:19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</row>
    <row r="103" spans="1:19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</row>
    <row r="104" spans="1:19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</row>
    <row r="105" spans="1:19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</row>
    <row r="106" spans="1:19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</row>
    <row r="107" spans="1:19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</row>
    <row r="108" spans="1:19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</row>
    <row r="109" spans="1:19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</row>
    <row r="110" spans="1:19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</row>
    <row r="111" spans="1:19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</row>
    <row r="112" spans="1:19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</row>
    <row r="113" spans="1:19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</row>
    <row r="114" spans="1:19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</row>
    <row r="115" spans="1:19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</row>
    <row r="116" spans="1:19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</row>
    <row r="117" spans="1:19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</row>
    <row r="118" spans="1:19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</row>
    <row r="119" spans="1:19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</row>
    <row r="120" spans="1:19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</row>
    <row r="121" spans="1:19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</row>
    <row r="122" spans="1:19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</row>
    <row r="123" spans="1:19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</row>
    <row r="124" spans="1:19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</row>
    <row r="125" spans="1:19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</row>
    <row r="126" spans="1:19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</row>
    <row r="127" spans="1:19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</row>
    <row r="128" spans="1:19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</row>
    <row r="129" spans="1:19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</row>
    <row r="130" spans="1:19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</row>
    <row r="131" spans="1:19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</row>
    <row r="132" spans="1:19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</row>
    <row r="133" spans="1:19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</row>
    <row r="134" spans="1:19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</row>
    <row r="135" spans="1:19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</row>
    <row r="136" spans="1:19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</row>
    <row r="137" spans="1:19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</row>
    <row r="138" spans="1:19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</row>
    <row r="139" spans="1:19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</row>
    <row r="140" spans="1:19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</row>
    <row r="141" spans="1:19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</row>
    <row r="142" spans="1:19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</row>
    <row r="143" spans="1:19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</row>
    <row r="144" spans="1:19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</row>
    <row r="145" spans="1:19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</row>
    <row r="146" spans="1:19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</row>
    <row r="147" spans="1:19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</row>
    <row r="148" spans="1:19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</row>
    <row r="149" spans="1:19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</row>
    <row r="150" spans="1:19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</row>
    <row r="151" spans="1:19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</row>
    <row r="152" spans="1:19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</row>
    <row r="153" spans="1:19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</row>
    <row r="154" spans="1:19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</row>
    <row r="155" spans="1:19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</row>
    <row r="156" spans="1:19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</row>
    <row r="157" spans="1:19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</row>
    <row r="158" spans="1:19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</row>
    <row r="159" spans="1:19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</row>
    <row r="160" spans="1:19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</row>
    <row r="161" spans="1:19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</row>
    <row r="162" spans="1:19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</row>
    <row r="163" spans="1:19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</row>
    <row r="164" spans="1:19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</row>
    <row r="165" spans="1:19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</row>
    <row r="166" spans="1:19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</row>
    <row r="167" spans="1:19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</row>
    <row r="168" spans="1:19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</row>
    <row r="169" spans="1:19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</row>
    <row r="170" spans="1:19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</row>
    <row r="171" spans="1:19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</row>
    <row r="172" spans="1:19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</row>
    <row r="173" spans="1:19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</row>
    <row r="174" spans="1:19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</row>
    <row r="175" spans="1:19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</row>
    <row r="176" spans="1:19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</row>
    <row r="177" spans="1:19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</row>
    <row r="178" spans="1:19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</row>
    <row r="179" spans="1:19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</row>
    <row r="180" spans="1:19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</row>
    <row r="181" spans="1:19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</row>
    <row r="182" spans="1:19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</row>
    <row r="183" spans="1:19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</row>
    <row r="184" spans="1:19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</row>
    <row r="185" spans="1:19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</row>
    <row r="186" spans="1:19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</row>
    <row r="187" spans="1:19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</row>
    <row r="188" spans="1:19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</row>
    <row r="189" spans="1:19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</row>
    <row r="190" spans="1:19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</row>
    <row r="191" spans="1:19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</row>
    <row r="192" spans="1:19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</row>
    <row r="193" spans="1:19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</row>
    <row r="194" spans="1:19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</row>
    <row r="195" spans="1:19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</row>
    <row r="196" spans="1:19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</row>
    <row r="197" spans="1:19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</row>
    <row r="198" spans="1:19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</row>
    <row r="199" spans="1:19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</row>
    <row r="200" spans="1:19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</row>
  </sheetData>
  <autoFilter ref="A1:S13">
    <extLst/>
  </autoFilter>
  <dataValidations>
    <dataValidation type="list" operator="between" allowBlank="1" showErrorMessage="1" sqref="H2:H13">
      <formula1>"A级,B级,C级"</formula1>
    </dataValidation>
    <dataValidation type="list" operator="between" allowBlank="1" showErrorMessage="1" sqref="M2:M13">
      <formula1>"初步接触,常规沟通,深度沟通,战略合作"</formula1>
    </dataValidation>
    <dataValidation type="list" operator="between" allowBlank="1" showErrorMessage="1" sqref="P2:P13">
      <formula1>"未开始,初步接触,跟进中,深度合作,已完成,暂停"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>
    <outlinePr summaryBelow="0" summaryRight="0"/>
  </sheetPr>
  <dimension ref="T200"/>
  <sheetViews>
    <sheetView showGridLines="0" workbookViewId="0">
      <pane xSplit="2" ySplit="1" topLeftCell="C2" activePane="bottomRight" state="frozen"/>
    </sheetView>
  </sheetViews>
  <sheetFormatPr defaultColWidth="25.8917" defaultRowHeight="14.25"/>
  <cols>
    <col min="1" max="2" width="15.9417" customWidth="1"/>
    <col min="3" max="3" width="25.8917" customWidth="1"/>
    <col min="4" max="6" width="14.2083" customWidth="1"/>
    <col min="7" max="7" width="12.4167" customWidth="1"/>
    <col min="8" max="8" width="39.375" customWidth="1"/>
    <col min="9" max="13" width="18" customWidth="1"/>
    <col min="14" max="20" width="25.8917" customWidth="1"/>
  </cols>
  <sheetData>
    <row r="1" spans="1:20" ht="14.6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5" t="s"/>
    </row>
    <row r="2" spans="1:20">
      <c r="A2" s="6">
        <v>1</v>
      </c>
      <c r="B2" s="6" t="s">
        <v>20</v>
      </c>
      <c r="C2" s="7" t="s">
        <v>21</v>
      </c>
      <c r="D2" s="7" t="s"/>
      <c r="E2" s="7" t="s"/>
      <c r="F2" s="7" t="s"/>
      <c r="G2" s="6" t="s">
        <v>22</v>
      </c>
      <c r="H2" s="7" t="s">
        <v>23</v>
      </c>
      <c r="I2" s="6" t="s">
        <v>24</v>
      </c>
      <c r="J2" s="6" t="s">
        <v>25</v>
      </c>
      <c r="K2" s="6">
        <v>0</v>
      </c>
      <c r="L2" s="8">
        <v>0</v>
      </c>
      <c r="M2" s="6" t="s">
        <f>=IF(L2=0,"待启动",IF(L2&gt;=1,"已完成",IF(L2&gt;=0.5,"进行中","推进中")))</f>
        <v>26</v>
      </c>
      <c r="N2" s="7" t="s"/>
      <c r="O2" s="6" t="s"/>
      <c r="P2" s="7" t="s"/>
      <c r="Q2" s="7" t="s"/>
      <c r="R2" s="7" t="s">
        <v>27</v>
      </c>
      <c r="S2" s="7" t="s">
        <v>28</v>
      </c>
      <c r="T2" s="5" t="s"/>
    </row>
    <row r="3" spans="1:20">
      <c r="A3" s="6">
        <v>2</v>
      </c>
      <c r="B3" s="6" t="s">
        <v>20</v>
      </c>
      <c r="C3" s="7" t="s">
        <v>29</v>
      </c>
      <c r="D3" s="7" t="s"/>
      <c r="E3" s="7" t="s"/>
      <c r="F3" s="7" t="s"/>
      <c r="G3" s="6" t="s">
        <v>30</v>
      </c>
      <c r="H3" s="7" t="s">
        <v>31</v>
      </c>
      <c r="I3" s="6" t="s">
        <v>32</v>
      </c>
      <c r="J3" s="6" t="s">
        <v>33</v>
      </c>
      <c r="K3" s="6">
        <v>0</v>
      </c>
      <c r="L3" s="8">
        <v>0</v>
      </c>
      <c r="M3" s="6" t="s">
        <f>=IF(L3=0,"待启动",IF(L3&gt;=1,"已完成",IF(L3&gt;=0.5,"进行中","推进中")))</f>
        <v>26</v>
      </c>
      <c r="N3" s="7" t="s"/>
      <c r="O3" s="6" t="s"/>
      <c r="P3" s="7" t="s"/>
      <c r="Q3" s="7" t="s"/>
      <c r="R3" s="7" t="s">
        <v>27</v>
      </c>
      <c r="S3" s="7" t="s">
        <v>28</v>
      </c>
      <c r="T3" s="5" t="s"/>
    </row>
    <row r="4" spans="1:20">
      <c r="A4" s="6">
        <v>3</v>
      </c>
      <c r="B4" s="6" t="s">
        <v>20</v>
      </c>
      <c r="C4" s="7" t="s">
        <v>34</v>
      </c>
      <c r="D4" s="7" t="s"/>
      <c r="E4" s="7" t="s"/>
      <c r="F4" s="7" t="s"/>
      <c r="G4" s="6" t="s">
        <v>30</v>
      </c>
      <c r="H4" s="7" t="s">
        <v>35</v>
      </c>
      <c r="I4" s="6" t="s">
        <v>36</v>
      </c>
      <c r="J4" s="6" t="s">
        <v>37</v>
      </c>
      <c r="K4" s="6">
        <v>0</v>
      </c>
      <c r="L4" s="8">
        <v>0</v>
      </c>
      <c r="M4" s="6" t="s">
        <f>=IF(L4=0,"待启动",IF(L4&gt;=1,"已完成",IF(L4&gt;=0.5,"进行中","推进中")))</f>
        <v>26</v>
      </c>
      <c r="N4" s="7" t="s"/>
      <c r="O4" s="6" t="s"/>
      <c r="P4" s="7" t="s"/>
      <c r="Q4" s="7" t="s"/>
      <c r="R4" s="7" t="s">
        <v>27</v>
      </c>
      <c r="S4" s="7" t="s">
        <v>28</v>
      </c>
      <c r="T4" s="5" t="s"/>
    </row>
    <row r="5" spans="1:20">
      <c r="A5" s="6">
        <v>4</v>
      </c>
      <c r="B5" s="6" t="s">
        <v>38</v>
      </c>
      <c r="C5" s="7" t="s">
        <v>39</v>
      </c>
      <c r="D5" s="7" t="s"/>
      <c r="E5" s="7" t="s"/>
      <c r="F5" s="7" t="s"/>
      <c r="G5" s="6" t="s">
        <v>22</v>
      </c>
      <c r="H5" s="7" t="s">
        <v>40</v>
      </c>
      <c r="I5" s="6" t="s">
        <v>24</v>
      </c>
      <c r="J5" s="6" t="s">
        <v>41</v>
      </c>
      <c r="K5" s="6">
        <v>0</v>
      </c>
      <c r="L5" s="8">
        <v>0</v>
      </c>
      <c r="M5" s="6" t="s">
        <f>=IF(L5=0,"待启动",IF(L5&gt;=1,"已完成",IF(L5&gt;=0.5,"进行中","推进中")))</f>
        <v>26</v>
      </c>
      <c r="N5" s="7" t="s"/>
      <c r="O5" s="6" t="s"/>
      <c r="P5" s="7" t="s"/>
      <c r="Q5" s="7" t="s"/>
      <c r="R5" s="7" t="s">
        <v>27</v>
      </c>
      <c r="S5" s="7" t="s">
        <v>28</v>
      </c>
      <c r="T5" s="5" t="s"/>
    </row>
    <row r="6" spans="1:20">
      <c r="A6" s="6">
        <v>5</v>
      </c>
      <c r="B6" s="6" t="s">
        <v>38</v>
      </c>
      <c r="C6" s="7" t="s">
        <v>42</v>
      </c>
      <c r="D6" s="7" t="s"/>
      <c r="E6" s="7" t="s"/>
      <c r="F6" s="7" t="s"/>
      <c r="G6" s="6" t="s">
        <v>30</v>
      </c>
      <c r="H6" s="7" t="s">
        <v>43</v>
      </c>
      <c r="I6" s="6" t="s">
        <v>32</v>
      </c>
      <c r="J6" s="6" t="s">
        <v>25</v>
      </c>
      <c r="K6" s="6">
        <v>0</v>
      </c>
      <c r="L6" s="8">
        <v>0</v>
      </c>
      <c r="M6" s="6" t="s">
        <f>=IF(L6=0,"待启动",IF(L6&gt;=1,"已完成",IF(L6&gt;=0.5,"进行中","推进中")))</f>
        <v>26</v>
      </c>
      <c r="N6" s="7" t="s"/>
      <c r="O6" s="6" t="s"/>
      <c r="P6" s="7" t="s"/>
      <c r="Q6" s="7" t="s"/>
      <c r="R6" s="7" t="s">
        <v>27</v>
      </c>
      <c r="S6" s="7" t="s">
        <v>28</v>
      </c>
      <c r="T6" s="5" t="s"/>
    </row>
    <row r="7" spans="1:20">
      <c r="A7" s="6">
        <v>6</v>
      </c>
      <c r="B7" s="6" t="s">
        <v>38</v>
      </c>
      <c r="C7" s="7" t="s">
        <v>44</v>
      </c>
      <c r="D7" s="7" t="s"/>
      <c r="E7" s="7" t="s"/>
      <c r="F7" s="7" t="s"/>
      <c r="G7" s="6" t="s">
        <v>30</v>
      </c>
      <c r="H7" s="7" t="s">
        <v>45</v>
      </c>
      <c r="I7" s="6" t="s">
        <v>32</v>
      </c>
      <c r="J7" s="6" t="s">
        <v>33</v>
      </c>
      <c r="K7" s="6">
        <v>0</v>
      </c>
      <c r="L7" s="8">
        <v>0</v>
      </c>
      <c r="M7" s="6" t="s">
        <f>=IF(L7=0,"待启动",IF(L7&gt;=1,"已完成",IF(L7&gt;=0.5,"进行中","推进中")))</f>
        <v>26</v>
      </c>
      <c r="N7" s="7" t="s"/>
      <c r="O7" s="6" t="s"/>
      <c r="P7" s="7" t="s"/>
      <c r="Q7" s="7" t="s"/>
      <c r="R7" s="7" t="s">
        <v>27</v>
      </c>
      <c r="S7" s="7" t="s">
        <v>28</v>
      </c>
      <c r="T7" s="5" t="s"/>
    </row>
    <row r="8" spans="1:20">
      <c r="A8" s="6">
        <v>7</v>
      </c>
      <c r="B8" s="6" t="s">
        <v>38</v>
      </c>
      <c r="C8" s="7" t="s">
        <v>46</v>
      </c>
      <c r="D8" s="7" t="s"/>
      <c r="E8" s="7" t="s"/>
      <c r="F8" s="7" t="s"/>
      <c r="G8" s="6" t="s">
        <v>47</v>
      </c>
      <c r="H8" s="7" t="s">
        <v>48</v>
      </c>
      <c r="I8" s="6" t="s">
        <v>49</v>
      </c>
      <c r="J8" s="6" t="s">
        <v>50</v>
      </c>
      <c r="K8" s="6">
        <v>0</v>
      </c>
      <c r="L8" s="8">
        <v>0</v>
      </c>
      <c r="M8" s="6" t="s">
        <f>=IF(L8=0,"待启动",IF(L8&gt;=1,"已完成",IF(L8&gt;=0.5,"进行中","推进中")))</f>
        <v>26</v>
      </c>
      <c r="N8" s="7" t="s"/>
      <c r="O8" s="6" t="s"/>
      <c r="P8" s="7" t="s"/>
      <c r="Q8" s="7" t="s"/>
      <c r="R8" s="7" t="s">
        <v>27</v>
      </c>
      <c r="S8" s="7" t="s">
        <v>28</v>
      </c>
      <c r="T8" s="5" t="s"/>
    </row>
    <row r="9" spans="1:20">
      <c r="A9" s="6">
        <v>8</v>
      </c>
      <c r="B9" s="6" t="s">
        <v>51</v>
      </c>
      <c r="C9" s="7" t="s">
        <v>52</v>
      </c>
      <c r="D9" s="7" t="s"/>
      <c r="E9" s="7" t="s"/>
      <c r="F9" s="7" t="s"/>
      <c r="G9" s="6" t="s">
        <v>22</v>
      </c>
      <c r="H9" s="7" t="s">
        <v>53</v>
      </c>
      <c r="I9" s="6" t="s">
        <v>24</v>
      </c>
      <c r="J9" s="6" t="s">
        <v>49</v>
      </c>
      <c r="K9" s="6">
        <v>0</v>
      </c>
      <c r="L9" s="8">
        <v>0</v>
      </c>
      <c r="M9" s="6" t="s">
        <f>=IF(L9=0,"待启动",IF(L9&gt;=1,"已完成",IF(L9&gt;=0.5,"进行中","推进中")))</f>
        <v>26</v>
      </c>
      <c r="N9" s="7" t="s"/>
      <c r="O9" s="6" t="s"/>
      <c r="P9" s="7" t="s"/>
      <c r="Q9" s="7" t="s"/>
      <c r="R9" s="7" t="s">
        <v>27</v>
      </c>
      <c r="S9" s="7" t="s">
        <v>28</v>
      </c>
      <c r="T9" s="5" t="s"/>
    </row>
    <row r="10" spans="1:20">
      <c r="A10" s="6">
        <v>9</v>
      </c>
      <c r="B10" s="6" t="s">
        <v>51</v>
      </c>
      <c r="C10" s="7" t="s">
        <v>54</v>
      </c>
      <c r="D10" s="7" t="s"/>
      <c r="E10" s="7" t="s"/>
      <c r="F10" s="7" t="s"/>
      <c r="G10" s="6" t="s">
        <v>30</v>
      </c>
      <c r="H10" s="7" t="s">
        <v>55</v>
      </c>
      <c r="I10" s="6" t="s">
        <v>32</v>
      </c>
      <c r="J10" s="6" t="s">
        <v>25</v>
      </c>
      <c r="K10" s="6">
        <v>0</v>
      </c>
      <c r="L10" s="8">
        <v>0</v>
      </c>
      <c r="M10" s="6" t="s">
        <f>=IF(L10=0,"待启动",IF(L10&gt;=1,"已完成",IF(L10&gt;=0.5,"进行中","推进中")))</f>
        <v>26</v>
      </c>
      <c r="N10" s="7" t="s"/>
      <c r="O10" s="6" t="s"/>
      <c r="P10" s="7" t="s"/>
      <c r="Q10" s="7" t="s"/>
      <c r="R10" s="7" t="s">
        <v>27</v>
      </c>
      <c r="S10" s="7" t="s">
        <v>28</v>
      </c>
      <c r="T10" s="5" t="s"/>
    </row>
    <row r="11" spans="1:20">
      <c r="A11" s="6">
        <v>10</v>
      </c>
      <c r="B11" s="6" t="s">
        <v>56</v>
      </c>
      <c r="C11" s="7" t="s">
        <v>57</v>
      </c>
      <c r="D11" s="7" t="s"/>
      <c r="E11" s="7" t="s"/>
      <c r="F11" s="7" t="s"/>
      <c r="G11" s="6" t="s">
        <v>30</v>
      </c>
      <c r="H11" s="7" t="s">
        <v>58</v>
      </c>
      <c r="I11" s="6" t="s">
        <v>36</v>
      </c>
      <c r="J11" s="6" t="s">
        <v>37</v>
      </c>
      <c r="K11" s="6">
        <v>0</v>
      </c>
      <c r="L11" s="8">
        <v>0</v>
      </c>
      <c r="M11" s="6" t="s">
        <f>=IF(L11=0,"待启动",IF(L11&gt;=1,"已完成",IF(L11&gt;=0.5,"进行中","推进中")))</f>
        <v>26</v>
      </c>
      <c r="N11" s="7" t="s"/>
      <c r="O11" s="6" t="s"/>
      <c r="P11" s="7" t="s"/>
      <c r="Q11" s="7" t="s"/>
      <c r="R11" s="7" t="s">
        <v>27</v>
      </c>
      <c r="S11" s="7" t="s">
        <v>28</v>
      </c>
      <c r="T11" s="5" t="s"/>
    </row>
    <row r="12" spans="1:20">
      <c r="A12" s="6">
        <v>11</v>
      </c>
      <c r="B12" s="6" t="s">
        <v>59</v>
      </c>
      <c r="C12" s="7" t="s">
        <v>60</v>
      </c>
      <c r="D12" s="7" t="s"/>
      <c r="E12" s="7" t="s"/>
      <c r="F12" s="7" t="s"/>
      <c r="G12" s="6" t="s">
        <v>30</v>
      </c>
      <c r="H12" s="7" t="s">
        <v>61</v>
      </c>
      <c r="I12" s="6" t="s">
        <v>32</v>
      </c>
      <c r="J12" s="6" t="s">
        <v>62</v>
      </c>
      <c r="K12" s="6">
        <v>0</v>
      </c>
      <c r="L12" s="8">
        <v>0</v>
      </c>
      <c r="M12" s="6" t="s">
        <f>=IF(L12=0,"待启动",IF(L12&gt;=1,"已完成",IF(L12&gt;=0.5,"进行中","推进中")))</f>
        <v>26</v>
      </c>
      <c r="N12" s="7" t="s"/>
      <c r="O12" s="6" t="s"/>
      <c r="P12" s="7" t="s"/>
      <c r="Q12" s="7" t="s"/>
      <c r="R12" s="7" t="s">
        <v>27</v>
      </c>
      <c r="S12" s="7" t="s">
        <v>28</v>
      </c>
      <c r="T12" s="5" t="s"/>
    </row>
    <row r="13" spans="1:20">
      <c r="A13" s="5" t="s"/>
      <c r="B13" s="5" t="s"/>
      <c r="C13" s="5" t="s"/>
      <c r="D13" s="5" t="s"/>
      <c r="E13" s="5" t="s"/>
      <c r="F13" s="5" t="s"/>
      <c r="G13" s="5" t="s"/>
      <c r="H13" s="9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</row>
    <row r="14" spans="1:20">
      <c r="A14" s="5" t="s"/>
      <c r="B14" s="5" t="s"/>
      <c r="C14" s="5" t="s"/>
      <c r="D14" s="5" t="s"/>
      <c r="E14" s="5" t="s"/>
      <c r="F14" s="5" t="s"/>
      <c r="G14" s="5" t="s"/>
      <c r="H14" s="9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</row>
    <row r="15" spans="1:20">
      <c r="A15" s="5" t="s"/>
      <c r="B15" s="5" t="s"/>
      <c r="C15" s="5" t="s"/>
      <c r="D15" s="5" t="s"/>
      <c r="E15" s="5" t="s"/>
      <c r="F15" s="5" t="s"/>
      <c r="G15" s="5" t="s"/>
      <c r="H15" s="9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</row>
    <row r="16" spans="1:20">
      <c r="A16" s="5" t="s"/>
      <c r="B16" s="5" t="s"/>
      <c r="C16" s="5" t="s"/>
      <c r="D16" s="5" t="s"/>
      <c r="E16" s="5" t="s"/>
      <c r="F16" s="5" t="s"/>
      <c r="G16" s="5" t="s"/>
      <c r="H16" s="9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</row>
    <row r="17" spans="1:20">
      <c r="A17" s="5" t="s"/>
      <c r="B17" s="5" t="s"/>
      <c r="C17" s="5" t="s"/>
      <c r="D17" s="5" t="s"/>
      <c r="E17" s="5" t="s"/>
      <c r="F17" s="5" t="s"/>
      <c r="G17" s="5" t="s"/>
      <c r="H17" s="9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</row>
    <row r="18" spans="1:20">
      <c r="A18" s="5" t="s"/>
      <c r="B18" s="5" t="s"/>
      <c r="C18" s="5" t="s"/>
      <c r="D18" s="5" t="s"/>
      <c r="E18" s="5" t="s"/>
      <c r="F18" s="5" t="s"/>
      <c r="G18" s="5" t="s"/>
      <c r="H18" s="9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</row>
    <row r="19" spans="1:20">
      <c r="A19" s="5" t="s"/>
      <c r="B19" s="5" t="s"/>
      <c r="C19" s="5" t="s"/>
      <c r="D19" s="5" t="s"/>
      <c r="E19" s="5" t="s"/>
      <c r="F19" s="5" t="s"/>
      <c r="G19" s="5" t="s"/>
      <c r="H19" s="9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</row>
    <row r="20" spans="1:20">
      <c r="A20" s="5" t="s"/>
      <c r="B20" s="5" t="s"/>
      <c r="C20" s="5" t="s"/>
      <c r="D20" s="5" t="s"/>
      <c r="E20" s="5" t="s"/>
      <c r="F20" s="5" t="s"/>
      <c r="G20" s="5" t="s"/>
      <c r="H20" s="9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</row>
    <row r="21" spans="1:20">
      <c r="A21" s="5" t="s"/>
      <c r="B21" s="5" t="s"/>
      <c r="C21" s="5" t="s"/>
      <c r="D21" s="5" t="s"/>
      <c r="E21" s="5" t="s"/>
      <c r="F21" s="5" t="s"/>
      <c r="G21" s="5" t="s"/>
      <c r="H21" s="9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</row>
    <row r="22" spans="1:20">
      <c r="A22" s="5" t="s"/>
      <c r="B22" s="5" t="s"/>
      <c r="C22" s="5" t="s"/>
      <c r="D22" s="5" t="s"/>
      <c r="E22" s="5" t="s"/>
      <c r="F22" s="5" t="s"/>
      <c r="G22" s="5" t="s"/>
      <c r="H22" s="9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</row>
    <row r="23" spans="1:20">
      <c r="A23" s="5" t="s"/>
      <c r="B23" s="5" t="s"/>
      <c r="C23" s="5" t="s"/>
      <c r="D23" s="5" t="s"/>
      <c r="E23" s="5" t="s"/>
      <c r="F23" s="5" t="s"/>
      <c r="G23" s="5" t="s"/>
      <c r="H23" s="9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</row>
    <row r="24" spans="1:20">
      <c r="A24" s="5" t="s"/>
      <c r="B24" s="5" t="s"/>
      <c r="C24" s="5" t="s"/>
      <c r="D24" s="5" t="s"/>
      <c r="E24" s="5" t="s"/>
      <c r="F24" s="5" t="s"/>
      <c r="G24" s="5" t="s"/>
      <c r="H24" s="9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</row>
    <row r="25" spans="1:20">
      <c r="A25" s="5" t="s"/>
      <c r="B25" s="5" t="s"/>
      <c r="C25" s="5" t="s"/>
      <c r="D25" s="5" t="s"/>
      <c r="E25" s="5" t="s"/>
      <c r="F25" s="5" t="s"/>
      <c r="G25" s="5" t="s"/>
      <c r="H25" s="9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</row>
    <row r="26" spans="1:20">
      <c r="A26" s="5" t="s"/>
      <c r="B26" s="5" t="s"/>
      <c r="C26" s="5" t="s"/>
      <c r="D26" s="5" t="s"/>
      <c r="E26" s="5" t="s"/>
      <c r="F26" s="5" t="s"/>
      <c r="G26" s="5" t="s"/>
      <c r="H26" s="9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</row>
    <row r="27" spans="1:20">
      <c r="A27" s="5" t="s"/>
      <c r="B27" s="5" t="s"/>
      <c r="C27" s="5" t="s"/>
      <c r="D27" s="5" t="s"/>
      <c r="E27" s="5" t="s"/>
      <c r="F27" s="5" t="s"/>
      <c r="G27" s="5" t="s"/>
      <c r="H27" s="9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</row>
    <row r="28" spans="1:20">
      <c r="A28" s="5" t="s"/>
      <c r="B28" s="5" t="s"/>
      <c r="C28" s="5" t="s"/>
      <c r="D28" s="5" t="s"/>
      <c r="E28" s="5" t="s"/>
      <c r="F28" s="5" t="s"/>
      <c r="G28" s="5" t="s"/>
      <c r="H28" s="9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</row>
    <row r="29" spans="1:20">
      <c r="A29" s="5" t="s"/>
      <c r="B29" s="5" t="s"/>
      <c r="C29" s="5" t="s"/>
      <c r="D29" s="5" t="s"/>
      <c r="E29" s="5" t="s"/>
      <c r="F29" s="5" t="s"/>
      <c r="G29" s="5" t="s"/>
      <c r="H29" s="9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</row>
    <row r="30" spans="1:20">
      <c r="A30" s="5" t="s"/>
      <c r="B30" s="5" t="s"/>
      <c r="C30" s="5" t="s"/>
      <c r="D30" s="5" t="s"/>
      <c r="E30" s="5" t="s"/>
      <c r="F30" s="5" t="s"/>
      <c r="G30" s="5" t="s"/>
      <c r="H30" s="9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</row>
    <row r="31" spans="1:20">
      <c r="A31" s="5" t="s"/>
      <c r="B31" s="5" t="s"/>
      <c r="C31" s="5" t="s"/>
      <c r="D31" s="5" t="s"/>
      <c r="E31" s="5" t="s"/>
      <c r="F31" s="5" t="s"/>
      <c r="G31" s="5" t="s"/>
      <c r="H31" s="9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</row>
    <row r="32" spans="1:20">
      <c r="A32" s="5" t="s"/>
      <c r="B32" s="5" t="s"/>
      <c r="C32" s="5" t="s"/>
      <c r="D32" s="5" t="s"/>
      <c r="E32" s="5" t="s"/>
      <c r="F32" s="5" t="s"/>
      <c r="G32" s="5" t="s"/>
      <c r="H32" s="9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</row>
    <row r="33" spans="1:20">
      <c r="A33" s="5" t="s"/>
      <c r="B33" s="5" t="s"/>
      <c r="C33" s="5" t="s"/>
      <c r="D33" s="5" t="s"/>
      <c r="E33" s="5" t="s"/>
      <c r="F33" s="5" t="s"/>
      <c r="G33" s="5" t="s"/>
      <c r="H33" s="9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</row>
    <row r="34" spans="1:20">
      <c r="A34" s="5" t="s"/>
      <c r="B34" s="5" t="s"/>
      <c r="C34" s="5" t="s"/>
      <c r="D34" s="5" t="s"/>
      <c r="E34" s="5" t="s"/>
      <c r="F34" s="5" t="s"/>
      <c r="G34" s="5" t="s"/>
      <c r="H34" s="9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</row>
    <row r="35" spans="1:20">
      <c r="A35" s="5" t="s"/>
      <c r="B35" s="5" t="s"/>
      <c r="C35" s="5" t="s"/>
      <c r="D35" s="5" t="s"/>
      <c r="E35" s="5" t="s"/>
      <c r="F35" s="5" t="s"/>
      <c r="G35" s="5" t="s"/>
      <c r="H35" s="9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</row>
    <row r="36" spans="1:20">
      <c r="A36" s="5" t="s"/>
      <c r="B36" s="5" t="s"/>
      <c r="C36" s="5" t="s"/>
      <c r="D36" s="5" t="s"/>
      <c r="E36" s="5" t="s"/>
      <c r="F36" s="5" t="s"/>
      <c r="G36" s="5" t="s"/>
      <c r="H36" s="9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</row>
    <row r="37" spans="1:20">
      <c r="A37" s="5" t="s"/>
      <c r="B37" s="5" t="s"/>
      <c r="C37" s="5" t="s"/>
      <c r="D37" s="5" t="s"/>
      <c r="E37" s="5" t="s"/>
      <c r="F37" s="5" t="s"/>
      <c r="G37" s="5" t="s"/>
      <c r="H37" s="9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</row>
    <row r="38" spans="1:20">
      <c r="A38" s="5" t="s"/>
      <c r="B38" s="5" t="s"/>
      <c r="C38" s="5" t="s"/>
      <c r="D38" s="5" t="s"/>
      <c r="E38" s="5" t="s"/>
      <c r="F38" s="5" t="s"/>
      <c r="G38" s="5" t="s"/>
      <c r="H38" s="9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</row>
    <row r="39" spans="1:20">
      <c r="A39" s="5" t="s"/>
      <c r="B39" s="5" t="s"/>
      <c r="C39" s="5" t="s"/>
      <c r="D39" s="5" t="s"/>
      <c r="E39" s="5" t="s"/>
      <c r="F39" s="5" t="s"/>
      <c r="G39" s="5" t="s"/>
      <c r="H39" s="9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</row>
    <row r="40" spans="1:20">
      <c r="A40" s="5" t="s"/>
      <c r="B40" s="5" t="s"/>
      <c r="C40" s="5" t="s"/>
      <c r="D40" s="5" t="s"/>
      <c r="E40" s="5" t="s"/>
      <c r="F40" s="5" t="s"/>
      <c r="G40" s="5" t="s"/>
      <c r="H40" s="9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</row>
    <row r="41" spans="1:20">
      <c r="A41" s="5" t="s"/>
      <c r="B41" s="5" t="s"/>
      <c r="C41" s="5" t="s"/>
      <c r="D41" s="5" t="s"/>
      <c r="E41" s="5" t="s"/>
      <c r="F41" s="5" t="s"/>
      <c r="G41" s="5" t="s"/>
      <c r="H41" s="9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</row>
    <row r="42" spans="1:20">
      <c r="A42" s="5" t="s"/>
      <c r="B42" s="5" t="s"/>
      <c r="C42" s="5" t="s"/>
      <c r="D42" s="5" t="s"/>
      <c r="E42" s="5" t="s"/>
      <c r="F42" s="5" t="s"/>
      <c r="G42" s="5" t="s"/>
      <c r="H42" s="9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</row>
    <row r="43" spans="1:20">
      <c r="A43" s="5" t="s"/>
      <c r="B43" s="5" t="s"/>
      <c r="C43" s="5" t="s"/>
      <c r="D43" s="5" t="s"/>
      <c r="E43" s="5" t="s"/>
      <c r="F43" s="5" t="s"/>
      <c r="G43" s="5" t="s"/>
      <c r="H43" s="9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</row>
    <row r="44" spans="1:20">
      <c r="A44" s="5" t="s"/>
      <c r="B44" s="5" t="s"/>
      <c r="C44" s="5" t="s"/>
      <c r="D44" s="5" t="s"/>
      <c r="E44" s="5" t="s"/>
      <c r="F44" s="5" t="s"/>
      <c r="G44" s="5" t="s"/>
      <c r="H44" s="9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</row>
    <row r="45" spans="1:20">
      <c r="A45" s="5" t="s"/>
      <c r="B45" s="5" t="s"/>
      <c r="C45" s="5" t="s"/>
      <c r="D45" s="5" t="s"/>
      <c r="E45" s="5" t="s"/>
      <c r="F45" s="5" t="s"/>
      <c r="G45" s="5" t="s"/>
      <c r="H45" s="9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  <row r="46" spans="1:20">
      <c r="A46" s="5" t="s"/>
      <c r="B46" s="5" t="s"/>
      <c r="C46" s="5" t="s"/>
      <c r="D46" s="5" t="s"/>
      <c r="E46" s="5" t="s"/>
      <c r="F46" s="5" t="s"/>
      <c r="G46" s="5" t="s"/>
      <c r="H46" s="9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</row>
    <row r="47" spans="1:20">
      <c r="A47" s="5" t="s"/>
      <c r="B47" s="5" t="s"/>
      <c r="C47" s="5" t="s"/>
      <c r="D47" s="5" t="s"/>
      <c r="E47" s="5" t="s"/>
      <c r="F47" s="5" t="s"/>
      <c r="G47" s="5" t="s"/>
      <c r="H47" s="9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</row>
    <row r="48" spans="1:20">
      <c r="A48" s="5" t="s"/>
      <c r="B48" s="5" t="s"/>
      <c r="C48" s="5" t="s"/>
      <c r="D48" s="5" t="s"/>
      <c r="E48" s="5" t="s"/>
      <c r="F48" s="5" t="s"/>
      <c r="G48" s="5" t="s"/>
      <c r="H48" s="9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</row>
    <row r="49" spans="1:20">
      <c r="A49" s="5" t="s"/>
      <c r="B49" s="5" t="s"/>
      <c r="C49" s="5" t="s"/>
      <c r="D49" s="5" t="s"/>
      <c r="E49" s="5" t="s"/>
      <c r="F49" s="5" t="s"/>
      <c r="G49" s="5" t="s"/>
      <c r="H49" s="9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</row>
    <row r="50" spans="1:20">
      <c r="A50" s="5" t="s"/>
      <c r="B50" s="5" t="s"/>
      <c r="C50" s="5" t="s"/>
      <c r="D50" s="5" t="s"/>
      <c r="E50" s="5" t="s"/>
      <c r="F50" s="5" t="s"/>
      <c r="G50" s="5" t="s"/>
      <c r="H50" s="9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</row>
    <row r="51" spans="1:20">
      <c r="A51" s="5" t="s"/>
      <c r="B51" s="5" t="s"/>
      <c r="C51" s="5" t="s"/>
      <c r="D51" s="5" t="s"/>
      <c r="E51" s="5" t="s"/>
      <c r="F51" s="5" t="s"/>
      <c r="G51" s="5" t="s"/>
      <c r="H51" s="9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</row>
    <row r="52" spans="1:20">
      <c r="A52" s="5" t="s"/>
      <c r="B52" s="5" t="s"/>
      <c r="C52" s="5" t="s"/>
      <c r="D52" s="5" t="s"/>
      <c r="E52" s="5" t="s"/>
      <c r="F52" s="5" t="s"/>
      <c r="G52" s="5" t="s"/>
      <c r="H52" s="9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</row>
    <row r="53" spans="1:20">
      <c r="A53" s="5" t="s"/>
      <c r="B53" s="5" t="s"/>
      <c r="C53" s="5" t="s"/>
      <c r="D53" s="5" t="s"/>
      <c r="E53" s="5" t="s"/>
      <c r="F53" s="5" t="s"/>
      <c r="G53" s="5" t="s"/>
      <c r="H53" s="9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</row>
    <row r="54" spans="1:20">
      <c r="A54" s="5" t="s"/>
      <c r="B54" s="5" t="s"/>
      <c r="C54" s="5" t="s"/>
      <c r="D54" s="5" t="s"/>
      <c r="E54" s="5" t="s"/>
      <c r="F54" s="5" t="s"/>
      <c r="G54" s="5" t="s"/>
      <c r="H54" s="9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</row>
    <row r="55" spans="1:20">
      <c r="A55" s="5" t="s"/>
      <c r="B55" s="5" t="s"/>
      <c r="C55" s="5" t="s"/>
      <c r="D55" s="5" t="s"/>
      <c r="E55" s="5" t="s"/>
      <c r="F55" s="5" t="s"/>
      <c r="G55" s="5" t="s"/>
      <c r="H55" s="9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</row>
    <row r="56" spans="1:20">
      <c r="A56" s="5" t="s"/>
      <c r="B56" s="5" t="s"/>
      <c r="C56" s="5" t="s"/>
      <c r="D56" s="5" t="s"/>
      <c r="E56" s="5" t="s"/>
      <c r="F56" s="5" t="s"/>
      <c r="G56" s="5" t="s"/>
      <c r="H56" s="9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</row>
    <row r="57" spans="1:20">
      <c r="A57" s="5" t="s"/>
      <c r="B57" s="5" t="s"/>
      <c r="C57" s="5" t="s"/>
      <c r="D57" s="5" t="s"/>
      <c r="E57" s="5" t="s"/>
      <c r="F57" s="5" t="s"/>
      <c r="G57" s="5" t="s"/>
      <c r="H57" s="9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</row>
    <row r="58" spans="1:20">
      <c r="A58" s="5" t="s"/>
      <c r="B58" s="5" t="s"/>
      <c r="C58" s="5" t="s"/>
      <c r="D58" s="5" t="s"/>
      <c r="E58" s="5" t="s"/>
      <c r="F58" s="5" t="s"/>
      <c r="G58" s="5" t="s"/>
      <c r="H58" s="9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</row>
    <row r="59" spans="1:20">
      <c r="A59" s="5" t="s"/>
      <c r="B59" s="5" t="s"/>
      <c r="C59" s="5" t="s"/>
      <c r="D59" s="5" t="s"/>
      <c r="E59" s="5" t="s"/>
      <c r="F59" s="5" t="s"/>
      <c r="G59" s="5" t="s"/>
      <c r="H59" s="9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</row>
    <row r="60" spans="1:20">
      <c r="A60" s="5" t="s"/>
      <c r="B60" s="5" t="s"/>
      <c r="C60" s="5" t="s"/>
      <c r="D60" s="5" t="s"/>
      <c r="E60" s="5" t="s"/>
      <c r="F60" s="5" t="s"/>
      <c r="G60" s="5" t="s"/>
      <c r="H60" s="9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</row>
    <row r="61" spans="1:20">
      <c r="A61" s="5" t="s"/>
      <c r="B61" s="5" t="s"/>
      <c r="C61" s="5" t="s"/>
      <c r="D61" s="5" t="s"/>
      <c r="E61" s="5" t="s"/>
      <c r="F61" s="5" t="s"/>
      <c r="G61" s="5" t="s"/>
      <c r="H61" s="9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</row>
    <row r="62" spans="1:20">
      <c r="A62" s="5" t="s"/>
      <c r="B62" s="5" t="s"/>
      <c r="C62" s="5" t="s"/>
      <c r="D62" s="5" t="s"/>
      <c r="E62" s="5" t="s"/>
      <c r="F62" s="5" t="s"/>
      <c r="G62" s="5" t="s"/>
      <c r="H62" s="9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</row>
    <row r="63" spans="1:20">
      <c r="A63" s="5" t="s"/>
      <c r="B63" s="5" t="s"/>
      <c r="C63" s="5" t="s"/>
      <c r="D63" s="5" t="s"/>
      <c r="E63" s="5" t="s"/>
      <c r="F63" s="5" t="s"/>
      <c r="G63" s="5" t="s"/>
      <c r="H63" s="9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</row>
    <row r="64" spans="1:20">
      <c r="A64" s="5" t="s"/>
      <c r="B64" s="5" t="s"/>
      <c r="C64" s="5" t="s"/>
      <c r="D64" s="5" t="s"/>
      <c r="E64" s="5" t="s"/>
      <c r="F64" s="5" t="s"/>
      <c r="G64" s="5" t="s"/>
      <c r="H64" s="9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</row>
    <row r="65" spans="1:20">
      <c r="A65" s="5" t="s"/>
      <c r="B65" s="5" t="s"/>
      <c r="C65" s="5" t="s"/>
      <c r="D65" s="5" t="s"/>
      <c r="E65" s="5" t="s"/>
      <c r="F65" s="5" t="s"/>
      <c r="G65" s="5" t="s"/>
      <c r="H65" s="9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</row>
    <row r="66" spans="1:20">
      <c r="A66" s="5" t="s"/>
      <c r="B66" s="5" t="s"/>
      <c r="C66" s="5" t="s"/>
      <c r="D66" s="5" t="s"/>
      <c r="E66" s="5" t="s"/>
      <c r="F66" s="5" t="s"/>
      <c r="G66" s="5" t="s"/>
      <c r="H66" s="9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</row>
    <row r="67" spans="1:20">
      <c r="A67" s="5" t="s"/>
      <c r="B67" s="5" t="s"/>
      <c r="C67" s="5" t="s"/>
      <c r="D67" s="5" t="s"/>
      <c r="E67" s="5" t="s"/>
      <c r="F67" s="5" t="s"/>
      <c r="G67" s="5" t="s"/>
      <c r="H67" s="9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</row>
    <row r="68" spans="1:20">
      <c r="A68" s="5" t="s"/>
      <c r="B68" s="5" t="s"/>
      <c r="C68" s="5" t="s"/>
      <c r="D68" s="5" t="s"/>
      <c r="E68" s="5" t="s"/>
      <c r="F68" s="5" t="s"/>
      <c r="G68" s="5" t="s"/>
      <c r="H68" s="9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</row>
    <row r="69" spans="1:20">
      <c r="A69" s="5" t="s"/>
      <c r="B69" s="5" t="s"/>
      <c r="C69" s="5" t="s"/>
      <c r="D69" s="5" t="s"/>
      <c r="E69" s="5" t="s"/>
      <c r="F69" s="5" t="s"/>
      <c r="G69" s="5" t="s"/>
      <c r="H69" s="9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</row>
    <row r="70" spans="1:20">
      <c r="A70" s="5" t="s"/>
      <c r="B70" s="5" t="s"/>
      <c r="C70" s="5" t="s"/>
      <c r="D70" s="5" t="s"/>
      <c r="E70" s="5" t="s"/>
      <c r="F70" s="5" t="s"/>
      <c r="G70" s="5" t="s"/>
      <c r="H70" s="9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</row>
    <row r="71" spans="1:20">
      <c r="A71" s="5" t="s"/>
      <c r="B71" s="5" t="s"/>
      <c r="C71" s="5" t="s"/>
      <c r="D71" s="5" t="s"/>
      <c r="E71" s="5" t="s"/>
      <c r="F71" s="5" t="s"/>
      <c r="G71" s="5" t="s"/>
      <c r="H71" s="9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</row>
    <row r="72" spans="1:20">
      <c r="A72" s="5" t="s"/>
      <c r="B72" s="5" t="s"/>
      <c r="C72" s="5" t="s"/>
      <c r="D72" s="5" t="s"/>
      <c r="E72" s="5" t="s"/>
      <c r="F72" s="5" t="s"/>
      <c r="G72" s="5" t="s"/>
      <c r="H72" s="9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</row>
    <row r="73" spans="1:20">
      <c r="A73" s="5" t="s"/>
      <c r="B73" s="5" t="s"/>
      <c r="C73" s="5" t="s"/>
      <c r="D73" s="5" t="s"/>
      <c r="E73" s="5" t="s"/>
      <c r="F73" s="5" t="s"/>
      <c r="G73" s="5" t="s"/>
      <c r="H73" s="9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</row>
    <row r="74" spans="1:20">
      <c r="A74" s="5" t="s"/>
      <c r="B74" s="5" t="s"/>
      <c r="C74" s="5" t="s"/>
      <c r="D74" s="5" t="s"/>
      <c r="E74" s="5" t="s"/>
      <c r="F74" s="5" t="s"/>
      <c r="G74" s="5" t="s"/>
      <c r="H74" s="9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</row>
    <row r="75" spans="1:20">
      <c r="A75" s="5" t="s"/>
      <c r="B75" s="5" t="s"/>
      <c r="C75" s="5" t="s"/>
      <c r="D75" s="5" t="s"/>
      <c r="E75" s="5" t="s"/>
      <c r="F75" s="5" t="s"/>
      <c r="G75" s="5" t="s"/>
      <c r="H75" s="9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</row>
    <row r="76" spans="1:20">
      <c r="A76" s="5" t="s"/>
      <c r="B76" s="5" t="s"/>
      <c r="C76" s="5" t="s"/>
      <c r="D76" s="5" t="s"/>
      <c r="E76" s="5" t="s"/>
      <c r="F76" s="5" t="s"/>
      <c r="G76" s="5" t="s"/>
      <c r="H76" s="9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</row>
    <row r="77" spans="1:20">
      <c r="A77" s="5" t="s"/>
      <c r="B77" s="5" t="s"/>
      <c r="C77" s="5" t="s"/>
      <c r="D77" s="5" t="s"/>
      <c r="E77" s="5" t="s"/>
      <c r="F77" s="5" t="s"/>
      <c r="G77" s="5" t="s"/>
      <c r="H77" s="9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</row>
    <row r="78" spans="1:20">
      <c r="A78" s="5" t="s"/>
      <c r="B78" s="5" t="s"/>
      <c r="C78" s="5" t="s"/>
      <c r="D78" s="5" t="s"/>
      <c r="E78" s="5" t="s"/>
      <c r="F78" s="5" t="s"/>
      <c r="G78" s="5" t="s"/>
      <c r="H78" s="9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</row>
    <row r="79" spans="1:20">
      <c r="A79" s="5" t="s"/>
      <c r="B79" s="5" t="s"/>
      <c r="C79" s="5" t="s"/>
      <c r="D79" s="5" t="s"/>
      <c r="E79" s="5" t="s"/>
      <c r="F79" s="5" t="s"/>
      <c r="G79" s="5" t="s"/>
      <c r="H79" s="9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</row>
    <row r="80" spans="1:20">
      <c r="A80" s="5" t="s"/>
      <c r="B80" s="5" t="s"/>
      <c r="C80" s="5" t="s"/>
      <c r="D80" s="5" t="s"/>
      <c r="E80" s="5" t="s"/>
      <c r="F80" s="5" t="s"/>
      <c r="G80" s="5" t="s"/>
      <c r="H80" s="9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</row>
    <row r="81" spans="1:20">
      <c r="A81" s="5" t="s"/>
      <c r="B81" s="5" t="s"/>
      <c r="C81" s="5" t="s"/>
      <c r="D81" s="5" t="s"/>
      <c r="E81" s="5" t="s"/>
      <c r="F81" s="5" t="s"/>
      <c r="G81" s="5" t="s"/>
      <c r="H81" s="9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</row>
    <row r="82" spans="1:20">
      <c r="A82" s="5" t="s"/>
      <c r="B82" s="5" t="s"/>
      <c r="C82" s="5" t="s"/>
      <c r="D82" s="5" t="s"/>
      <c r="E82" s="5" t="s"/>
      <c r="F82" s="5" t="s"/>
      <c r="G82" s="5" t="s"/>
      <c r="H82" s="9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</row>
    <row r="83" spans="1:20">
      <c r="A83" s="5" t="s"/>
      <c r="B83" s="5" t="s"/>
      <c r="C83" s="5" t="s"/>
      <c r="D83" s="5" t="s"/>
      <c r="E83" s="5" t="s"/>
      <c r="F83" s="5" t="s"/>
      <c r="G83" s="5" t="s"/>
      <c r="H83" s="9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</row>
    <row r="84" spans="1:20">
      <c r="A84" s="5" t="s"/>
      <c r="B84" s="5" t="s"/>
      <c r="C84" s="5" t="s"/>
      <c r="D84" s="5" t="s"/>
      <c r="E84" s="5" t="s"/>
      <c r="F84" s="5" t="s"/>
      <c r="G84" s="5" t="s"/>
      <c r="H84" s="9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</row>
    <row r="85" spans="1:20">
      <c r="A85" s="5" t="s"/>
      <c r="B85" s="5" t="s"/>
      <c r="C85" s="5" t="s"/>
      <c r="D85" s="5" t="s"/>
      <c r="E85" s="5" t="s"/>
      <c r="F85" s="5" t="s"/>
      <c r="G85" s="5" t="s"/>
      <c r="H85" s="9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</row>
    <row r="86" spans="1:20">
      <c r="A86" s="5" t="s"/>
      <c r="B86" s="5" t="s"/>
      <c r="C86" s="5" t="s"/>
      <c r="D86" s="5" t="s"/>
      <c r="E86" s="5" t="s"/>
      <c r="F86" s="5" t="s"/>
      <c r="G86" s="5" t="s"/>
      <c r="H86" s="9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</row>
    <row r="87" spans="1:20">
      <c r="A87" s="5" t="s"/>
      <c r="B87" s="5" t="s"/>
      <c r="C87" s="5" t="s"/>
      <c r="D87" s="5" t="s"/>
      <c r="E87" s="5" t="s"/>
      <c r="F87" s="5" t="s"/>
      <c r="G87" s="5" t="s"/>
      <c r="H87" s="9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</row>
    <row r="88" spans="1:20">
      <c r="A88" s="5" t="s"/>
      <c r="B88" s="5" t="s"/>
      <c r="C88" s="5" t="s"/>
      <c r="D88" s="5" t="s"/>
      <c r="E88" s="5" t="s"/>
      <c r="F88" s="5" t="s"/>
      <c r="G88" s="5" t="s"/>
      <c r="H88" s="9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</row>
    <row r="89" spans="1:20">
      <c r="A89" s="5" t="s"/>
      <c r="B89" s="5" t="s"/>
      <c r="C89" s="5" t="s"/>
      <c r="D89" s="5" t="s"/>
      <c r="E89" s="5" t="s"/>
      <c r="F89" s="5" t="s"/>
      <c r="G89" s="5" t="s"/>
      <c r="H89" s="9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</row>
    <row r="90" spans="1:20">
      <c r="A90" s="5" t="s"/>
      <c r="B90" s="5" t="s"/>
      <c r="C90" s="5" t="s"/>
      <c r="D90" s="5" t="s"/>
      <c r="E90" s="5" t="s"/>
      <c r="F90" s="5" t="s"/>
      <c r="G90" s="5" t="s"/>
      <c r="H90" s="9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</row>
    <row r="91" spans="1:20">
      <c r="A91" s="5" t="s"/>
      <c r="B91" s="5" t="s"/>
      <c r="C91" s="5" t="s"/>
      <c r="D91" s="5" t="s"/>
      <c r="E91" s="5" t="s"/>
      <c r="F91" s="5" t="s"/>
      <c r="G91" s="5" t="s"/>
      <c r="H91" s="9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</row>
    <row r="92" spans="1:20">
      <c r="A92" s="5" t="s"/>
      <c r="B92" s="5" t="s"/>
      <c r="C92" s="5" t="s"/>
      <c r="D92" s="5" t="s"/>
      <c r="E92" s="5" t="s"/>
      <c r="F92" s="5" t="s"/>
      <c r="G92" s="5" t="s"/>
      <c r="H92" s="9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</row>
    <row r="93" spans="1:20">
      <c r="A93" s="5" t="s"/>
      <c r="B93" s="5" t="s"/>
      <c r="C93" s="5" t="s"/>
      <c r="D93" s="5" t="s"/>
      <c r="E93" s="5" t="s"/>
      <c r="F93" s="5" t="s"/>
      <c r="G93" s="5" t="s"/>
      <c r="H93" s="9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</row>
    <row r="94" spans="1:20">
      <c r="A94" s="5" t="s"/>
      <c r="B94" s="5" t="s"/>
      <c r="C94" s="5" t="s"/>
      <c r="D94" s="5" t="s"/>
      <c r="E94" s="5" t="s"/>
      <c r="F94" s="5" t="s"/>
      <c r="G94" s="5" t="s"/>
      <c r="H94" s="9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</row>
    <row r="95" spans="1:20">
      <c r="A95" s="5" t="s"/>
      <c r="B95" s="5" t="s"/>
      <c r="C95" s="5" t="s"/>
      <c r="D95" s="5" t="s"/>
      <c r="E95" s="5" t="s"/>
      <c r="F95" s="5" t="s"/>
      <c r="G95" s="5" t="s"/>
      <c r="H95" s="9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</row>
    <row r="96" spans="1:20">
      <c r="A96" s="5" t="s"/>
      <c r="B96" s="5" t="s"/>
      <c r="C96" s="5" t="s"/>
      <c r="D96" s="5" t="s"/>
      <c r="E96" s="5" t="s"/>
      <c r="F96" s="5" t="s"/>
      <c r="G96" s="5" t="s"/>
      <c r="H96" s="9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</row>
    <row r="97" spans="1:20">
      <c r="A97" s="5" t="s"/>
      <c r="B97" s="5" t="s"/>
      <c r="C97" s="5" t="s"/>
      <c r="D97" s="5" t="s"/>
      <c r="E97" s="5" t="s"/>
      <c r="F97" s="5" t="s"/>
      <c r="G97" s="5" t="s"/>
      <c r="H97" s="9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</row>
    <row r="98" spans="1:20">
      <c r="A98" s="5" t="s"/>
      <c r="B98" s="5" t="s"/>
      <c r="C98" s="5" t="s"/>
      <c r="D98" s="5" t="s"/>
      <c r="E98" s="5" t="s"/>
      <c r="F98" s="5" t="s"/>
      <c r="G98" s="5" t="s"/>
      <c r="H98" s="9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</row>
    <row r="99" spans="1:20">
      <c r="A99" s="5" t="s"/>
      <c r="B99" s="5" t="s"/>
      <c r="C99" s="5" t="s"/>
      <c r="D99" s="5" t="s"/>
      <c r="E99" s="5" t="s"/>
      <c r="F99" s="5" t="s"/>
      <c r="G99" s="5" t="s"/>
      <c r="H99" s="9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</row>
    <row r="100" spans="1:20">
      <c r="A100" s="5" t="s"/>
      <c r="B100" s="5" t="s"/>
      <c r="C100" s="5" t="s"/>
      <c r="D100" s="5" t="s"/>
      <c r="E100" s="5" t="s"/>
      <c r="F100" s="5" t="s"/>
      <c r="G100" s="5" t="s"/>
      <c r="H100" s="9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</row>
    <row r="101" spans="1:20">
      <c r="A101" s="5" t="s"/>
      <c r="B101" s="5" t="s"/>
      <c r="C101" s="5" t="s"/>
      <c r="D101" s="5" t="s"/>
      <c r="E101" s="5" t="s"/>
      <c r="F101" s="5" t="s"/>
      <c r="G101" s="5" t="s"/>
      <c r="H101" s="9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</row>
    <row r="102" spans="1:20">
      <c r="A102" s="5" t="s"/>
      <c r="B102" s="5" t="s"/>
      <c r="C102" s="5" t="s"/>
      <c r="D102" s="5" t="s"/>
      <c r="E102" s="5" t="s"/>
      <c r="F102" s="5" t="s"/>
      <c r="G102" s="5" t="s"/>
      <c r="H102" s="9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</row>
    <row r="103" spans="1:20">
      <c r="A103" s="5" t="s"/>
      <c r="B103" s="5" t="s"/>
      <c r="C103" s="5" t="s"/>
      <c r="D103" s="5" t="s"/>
      <c r="E103" s="5" t="s"/>
      <c r="F103" s="5" t="s"/>
      <c r="G103" s="5" t="s"/>
      <c r="H103" s="9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</row>
    <row r="104" spans="1:20">
      <c r="A104" s="5" t="s"/>
      <c r="B104" s="5" t="s"/>
      <c r="C104" s="5" t="s"/>
      <c r="D104" s="5" t="s"/>
      <c r="E104" s="5" t="s"/>
      <c r="F104" s="5" t="s"/>
      <c r="G104" s="5" t="s"/>
      <c r="H104" s="9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</row>
    <row r="105" spans="1:20">
      <c r="A105" s="5" t="s"/>
      <c r="B105" s="5" t="s"/>
      <c r="C105" s="5" t="s"/>
      <c r="D105" s="5" t="s"/>
      <c r="E105" s="5" t="s"/>
      <c r="F105" s="5" t="s"/>
      <c r="G105" s="5" t="s"/>
      <c r="H105" s="9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</row>
    <row r="106" spans="1:20">
      <c r="A106" s="5" t="s"/>
      <c r="B106" s="5" t="s"/>
      <c r="C106" s="5" t="s"/>
      <c r="D106" s="5" t="s"/>
      <c r="E106" s="5" t="s"/>
      <c r="F106" s="5" t="s"/>
      <c r="G106" s="5" t="s"/>
      <c r="H106" s="9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</row>
    <row r="107" spans="1:20">
      <c r="A107" s="5" t="s"/>
      <c r="B107" s="5" t="s"/>
      <c r="C107" s="5" t="s"/>
      <c r="D107" s="5" t="s"/>
      <c r="E107" s="5" t="s"/>
      <c r="F107" s="5" t="s"/>
      <c r="G107" s="5" t="s"/>
      <c r="H107" s="9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</row>
    <row r="108" spans="1:20">
      <c r="A108" s="5" t="s"/>
      <c r="B108" s="5" t="s"/>
      <c r="C108" s="5" t="s"/>
      <c r="D108" s="5" t="s"/>
      <c r="E108" s="5" t="s"/>
      <c r="F108" s="5" t="s"/>
      <c r="G108" s="5" t="s"/>
      <c r="H108" s="9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</row>
    <row r="109" spans="1:20">
      <c r="A109" s="5" t="s"/>
      <c r="B109" s="5" t="s"/>
      <c r="C109" s="5" t="s"/>
      <c r="D109" s="5" t="s"/>
      <c r="E109" s="5" t="s"/>
      <c r="F109" s="5" t="s"/>
      <c r="G109" s="5" t="s"/>
      <c r="H109" s="9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</row>
    <row r="110" spans="1:20">
      <c r="A110" s="5" t="s"/>
      <c r="B110" s="5" t="s"/>
      <c r="C110" s="5" t="s"/>
      <c r="D110" s="5" t="s"/>
      <c r="E110" s="5" t="s"/>
      <c r="F110" s="5" t="s"/>
      <c r="G110" s="5" t="s"/>
      <c r="H110" s="9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</row>
    <row r="111" spans="1:20">
      <c r="A111" s="5" t="s"/>
      <c r="B111" s="5" t="s"/>
      <c r="C111" s="5" t="s"/>
      <c r="D111" s="5" t="s"/>
      <c r="E111" s="5" t="s"/>
      <c r="F111" s="5" t="s"/>
      <c r="G111" s="5" t="s"/>
      <c r="H111" s="9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</row>
    <row r="112" spans="1:20">
      <c r="A112" s="5" t="s"/>
      <c r="B112" s="5" t="s"/>
      <c r="C112" s="5" t="s"/>
      <c r="D112" s="5" t="s"/>
      <c r="E112" s="5" t="s"/>
      <c r="F112" s="5" t="s"/>
      <c r="G112" s="5" t="s"/>
      <c r="H112" s="9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</row>
    <row r="113" spans="1:20">
      <c r="A113" s="5" t="s"/>
      <c r="B113" s="5" t="s"/>
      <c r="C113" s="5" t="s"/>
      <c r="D113" s="5" t="s"/>
      <c r="E113" s="5" t="s"/>
      <c r="F113" s="5" t="s"/>
      <c r="G113" s="5" t="s"/>
      <c r="H113" s="9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</row>
    <row r="114" spans="1:20">
      <c r="A114" s="5" t="s"/>
      <c r="B114" s="5" t="s"/>
      <c r="C114" s="5" t="s"/>
      <c r="D114" s="5" t="s"/>
      <c r="E114" s="5" t="s"/>
      <c r="F114" s="5" t="s"/>
      <c r="G114" s="5" t="s"/>
      <c r="H114" s="9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</row>
    <row r="115" spans="1:20">
      <c r="A115" s="5" t="s"/>
      <c r="B115" s="5" t="s"/>
      <c r="C115" s="5" t="s"/>
      <c r="D115" s="5" t="s"/>
      <c r="E115" s="5" t="s"/>
      <c r="F115" s="5" t="s"/>
      <c r="G115" s="5" t="s"/>
      <c r="H115" s="9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</row>
    <row r="116" spans="1:20">
      <c r="A116" s="5" t="s"/>
      <c r="B116" s="5" t="s"/>
      <c r="C116" s="5" t="s"/>
      <c r="D116" s="5" t="s"/>
      <c r="E116" s="5" t="s"/>
      <c r="F116" s="5" t="s"/>
      <c r="G116" s="5" t="s"/>
      <c r="H116" s="9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</row>
    <row r="117" spans="1:20">
      <c r="A117" s="5" t="s"/>
      <c r="B117" s="5" t="s"/>
      <c r="C117" s="5" t="s"/>
      <c r="D117" s="5" t="s"/>
      <c r="E117" s="5" t="s"/>
      <c r="F117" s="5" t="s"/>
      <c r="G117" s="5" t="s"/>
      <c r="H117" s="9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</row>
    <row r="118" spans="1:20">
      <c r="A118" s="5" t="s"/>
      <c r="B118" s="5" t="s"/>
      <c r="C118" s="5" t="s"/>
      <c r="D118" s="5" t="s"/>
      <c r="E118" s="5" t="s"/>
      <c r="F118" s="5" t="s"/>
      <c r="G118" s="5" t="s"/>
      <c r="H118" s="9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</row>
    <row r="119" spans="1:20">
      <c r="A119" s="5" t="s"/>
      <c r="B119" s="5" t="s"/>
      <c r="C119" s="5" t="s"/>
      <c r="D119" s="5" t="s"/>
      <c r="E119" s="5" t="s"/>
      <c r="F119" s="5" t="s"/>
      <c r="G119" s="5" t="s"/>
      <c r="H119" s="9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</row>
    <row r="120" spans="1:20">
      <c r="A120" s="5" t="s"/>
      <c r="B120" s="5" t="s"/>
      <c r="C120" s="5" t="s"/>
      <c r="D120" s="5" t="s"/>
      <c r="E120" s="5" t="s"/>
      <c r="F120" s="5" t="s"/>
      <c r="G120" s="5" t="s"/>
      <c r="H120" s="9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</row>
    <row r="121" spans="1:20">
      <c r="A121" s="5" t="s"/>
      <c r="B121" s="5" t="s"/>
      <c r="C121" s="5" t="s"/>
      <c r="D121" s="5" t="s"/>
      <c r="E121" s="5" t="s"/>
      <c r="F121" s="5" t="s"/>
      <c r="G121" s="5" t="s"/>
      <c r="H121" s="9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</row>
    <row r="122" spans="1:20">
      <c r="A122" s="5" t="s"/>
      <c r="B122" s="5" t="s"/>
      <c r="C122" s="5" t="s"/>
      <c r="D122" s="5" t="s"/>
      <c r="E122" s="5" t="s"/>
      <c r="F122" s="5" t="s"/>
      <c r="G122" s="5" t="s"/>
      <c r="H122" s="9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</row>
    <row r="123" spans="1:20">
      <c r="A123" s="5" t="s"/>
      <c r="B123" s="5" t="s"/>
      <c r="C123" s="5" t="s"/>
      <c r="D123" s="5" t="s"/>
      <c r="E123" s="5" t="s"/>
      <c r="F123" s="5" t="s"/>
      <c r="G123" s="5" t="s"/>
      <c r="H123" s="9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</row>
    <row r="124" spans="1:20">
      <c r="A124" s="5" t="s"/>
      <c r="B124" s="5" t="s"/>
      <c r="C124" s="5" t="s"/>
      <c r="D124" s="5" t="s"/>
      <c r="E124" s="5" t="s"/>
      <c r="F124" s="5" t="s"/>
      <c r="G124" s="5" t="s"/>
      <c r="H124" s="9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</row>
    <row r="125" spans="1:20">
      <c r="A125" s="5" t="s"/>
      <c r="B125" s="5" t="s"/>
      <c r="C125" s="5" t="s"/>
      <c r="D125" s="5" t="s"/>
      <c r="E125" s="5" t="s"/>
      <c r="F125" s="5" t="s"/>
      <c r="G125" s="5" t="s"/>
      <c r="H125" s="9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</row>
    <row r="126" spans="1:20">
      <c r="A126" s="5" t="s"/>
      <c r="B126" s="5" t="s"/>
      <c r="C126" s="5" t="s"/>
      <c r="D126" s="5" t="s"/>
      <c r="E126" s="5" t="s"/>
      <c r="F126" s="5" t="s"/>
      <c r="G126" s="5" t="s"/>
      <c r="H126" s="9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</row>
    <row r="127" spans="1:20">
      <c r="A127" s="5" t="s"/>
      <c r="B127" s="5" t="s"/>
      <c r="C127" s="5" t="s"/>
      <c r="D127" s="5" t="s"/>
      <c r="E127" s="5" t="s"/>
      <c r="F127" s="5" t="s"/>
      <c r="G127" s="5" t="s"/>
      <c r="H127" s="9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</row>
    <row r="128" spans="1:20">
      <c r="A128" s="5" t="s"/>
      <c r="B128" s="5" t="s"/>
      <c r="C128" s="5" t="s"/>
      <c r="D128" s="5" t="s"/>
      <c r="E128" s="5" t="s"/>
      <c r="F128" s="5" t="s"/>
      <c r="G128" s="5" t="s"/>
      <c r="H128" s="9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</row>
    <row r="129" spans="1:20">
      <c r="A129" s="5" t="s"/>
      <c r="B129" s="5" t="s"/>
      <c r="C129" s="5" t="s"/>
      <c r="D129" s="5" t="s"/>
      <c r="E129" s="5" t="s"/>
      <c r="F129" s="5" t="s"/>
      <c r="G129" s="5" t="s"/>
      <c r="H129" s="9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</row>
    <row r="130" spans="1:20">
      <c r="A130" s="5" t="s"/>
      <c r="B130" s="5" t="s"/>
      <c r="C130" s="5" t="s"/>
      <c r="D130" s="5" t="s"/>
      <c r="E130" s="5" t="s"/>
      <c r="F130" s="5" t="s"/>
      <c r="G130" s="5" t="s"/>
      <c r="H130" s="9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</row>
    <row r="131" spans="1:20">
      <c r="A131" s="5" t="s"/>
      <c r="B131" s="5" t="s"/>
      <c r="C131" s="5" t="s"/>
      <c r="D131" s="5" t="s"/>
      <c r="E131" s="5" t="s"/>
      <c r="F131" s="5" t="s"/>
      <c r="G131" s="5" t="s"/>
      <c r="H131" s="9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</row>
    <row r="132" spans="1:20">
      <c r="A132" s="5" t="s"/>
      <c r="B132" s="5" t="s"/>
      <c r="C132" s="5" t="s"/>
      <c r="D132" s="5" t="s"/>
      <c r="E132" s="5" t="s"/>
      <c r="F132" s="5" t="s"/>
      <c r="G132" s="5" t="s"/>
      <c r="H132" s="9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</row>
    <row r="133" spans="1:20">
      <c r="A133" s="5" t="s"/>
      <c r="B133" s="5" t="s"/>
      <c r="C133" s="5" t="s"/>
      <c r="D133" s="5" t="s"/>
      <c r="E133" s="5" t="s"/>
      <c r="F133" s="5" t="s"/>
      <c r="G133" s="5" t="s"/>
      <c r="H133" s="9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</row>
    <row r="134" spans="1:20">
      <c r="A134" s="5" t="s"/>
      <c r="B134" s="5" t="s"/>
      <c r="C134" s="5" t="s"/>
      <c r="D134" s="5" t="s"/>
      <c r="E134" s="5" t="s"/>
      <c r="F134" s="5" t="s"/>
      <c r="G134" s="5" t="s"/>
      <c r="H134" s="9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</row>
    <row r="135" spans="1:20">
      <c r="A135" s="5" t="s"/>
      <c r="B135" s="5" t="s"/>
      <c r="C135" s="5" t="s"/>
      <c r="D135" s="5" t="s"/>
      <c r="E135" s="5" t="s"/>
      <c r="F135" s="5" t="s"/>
      <c r="G135" s="5" t="s"/>
      <c r="H135" s="9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</row>
    <row r="136" spans="1:20">
      <c r="A136" s="5" t="s"/>
      <c r="B136" s="5" t="s"/>
      <c r="C136" s="5" t="s"/>
      <c r="D136" s="5" t="s"/>
      <c r="E136" s="5" t="s"/>
      <c r="F136" s="5" t="s"/>
      <c r="G136" s="5" t="s"/>
      <c r="H136" s="9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</row>
    <row r="137" spans="1:20">
      <c r="A137" s="5" t="s"/>
      <c r="B137" s="5" t="s"/>
      <c r="C137" s="5" t="s"/>
      <c r="D137" s="5" t="s"/>
      <c r="E137" s="5" t="s"/>
      <c r="F137" s="5" t="s"/>
      <c r="G137" s="5" t="s"/>
      <c r="H137" s="9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</row>
    <row r="138" spans="1:20">
      <c r="A138" s="5" t="s"/>
      <c r="B138" s="5" t="s"/>
      <c r="C138" s="5" t="s"/>
      <c r="D138" s="5" t="s"/>
      <c r="E138" s="5" t="s"/>
      <c r="F138" s="5" t="s"/>
      <c r="G138" s="5" t="s"/>
      <c r="H138" s="9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</row>
    <row r="139" spans="1:20">
      <c r="A139" s="5" t="s"/>
      <c r="B139" s="5" t="s"/>
      <c r="C139" s="5" t="s"/>
      <c r="D139" s="5" t="s"/>
      <c r="E139" s="5" t="s"/>
      <c r="F139" s="5" t="s"/>
      <c r="G139" s="5" t="s"/>
      <c r="H139" s="9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</row>
    <row r="140" spans="1:20">
      <c r="A140" s="5" t="s"/>
      <c r="B140" s="5" t="s"/>
      <c r="C140" s="5" t="s"/>
      <c r="D140" s="5" t="s"/>
      <c r="E140" s="5" t="s"/>
      <c r="F140" s="5" t="s"/>
      <c r="G140" s="5" t="s"/>
      <c r="H140" s="9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</row>
    <row r="141" spans="1:20">
      <c r="A141" s="5" t="s"/>
      <c r="B141" s="5" t="s"/>
      <c r="C141" s="5" t="s"/>
      <c r="D141" s="5" t="s"/>
      <c r="E141" s="5" t="s"/>
      <c r="F141" s="5" t="s"/>
      <c r="G141" s="5" t="s"/>
      <c r="H141" s="9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</row>
    <row r="142" spans="1:20">
      <c r="A142" s="5" t="s"/>
      <c r="B142" s="5" t="s"/>
      <c r="C142" s="5" t="s"/>
      <c r="D142" s="5" t="s"/>
      <c r="E142" s="5" t="s"/>
      <c r="F142" s="5" t="s"/>
      <c r="G142" s="5" t="s"/>
      <c r="H142" s="9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</row>
    <row r="143" spans="1:20">
      <c r="A143" s="5" t="s"/>
      <c r="B143" s="5" t="s"/>
      <c r="C143" s="5" t="s"/>
      <c r="D143" s="5" t="s"/>
      <c r="E143" s="5" t="s"/>
      <c r="F143" s="5" t="s"/>
      <c r="G143" s="5" t="s"/>
      <c r="H143" s="9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</row>
    <row r="144" spans="1:20">
      <c r="A144" s="5" t="s"/>
      <c r="B144" s="5" t="s"/>
      <c r="C144" s="5" t="s"/>
      <c r="D144" s="5" t="s"/>
      <c r="E144" s="5" t="s"/>
      <c r="F144" s="5" t="s"/>
      <c r="G144" s="5" t="s"/>
      <c r="H144" s="9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</row>
    <row r="145" spans="1:20">
      <c r="A145" s="5" t="s"/>
      <c r="B145" s="5" t="s"/>
      <c r="C145" s="5" t="s"/>
      <c r="D145" s="5" t="s"/>
      <c r="E145" s="5" t="s"/>
      <c r="F145" s="5" t="s"/>
      <c r="G145" s="5" t="s"/>
      <c r="H145" s="9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</row>
    <row r="146" spans="1:20">
      <c r="A146" s="5" t="s"/>
      <c r="B146" s="5" t="s"/>
      <c r="C146" s="5" t="s"/>
      <c r="D146" s="5" t="s"/>
      <c r="E146" s="5" t="s"/>
      <c r="F146" s="5" t="s"/>
      <c r="G146" s="5" t="s"/>
      <c r="H146" s="9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</row>
    <row r="147" spans="1:20">
      <c r="A147" s="5" t="s"/>
      <c r="B147" s="5" t="s"/>
      <c r="C147" s="5" t="s"/>
      <c r="D147" s="5" t="s"/>
      <c r="E147" s="5" t="s"/>
      <c r="F147" s="5" t="s"/>
      <c r="G147" s="5" t="s"/>
      <c r="H147" s="9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</row>
    <row r="148" spans="1:20">
      <c r="A148" s="5" t="s"/>
      <c r="B148" s="5" t="s"/>
      <c r="C148" s="5" t="s"/>
      <c r="D148" s="5" t="s"/>
      <c r="E148" s="5" t="s"/>
      <c r="F148" s="5" t="s"/>
      <c r="G148" s="5" t="s"/>
      <c r="H148" s="9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</row>
    <row r="149" spans="1:20">
      <c r="A149" s="5" t="s"/>
      <c r="B149" s="5" t="s"/>
      <c r="C149" s="5" t="s"/>
      <c r="D149" s="5" t="s"/>
      <c r="E149" s="5" t="s"/>
      <c r="F149" s="5" t="s"/>
      <c r="G149" s="5" t="s"/>
      <c r="H149" s="9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</row>
    <row r="150" spans="1:20">
      <c r="A150" s="5" t="s"/>
      <c r="B150" s="5" t="s"/>
      <c r="C150" s="5" t="s"/>
      <c r="D150" s="5" t="s"/>
      <c r="E150" s="5" t="s"/>
      <c r="F150" s="5" t="s"/>
      <c r="G150" s="5" t="s"/>
      <c r="H150" s="9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</row>
    <row r="151" spans="1:20">
      <c r="A151" s="5" t="s"/>
      <c r="B151" s="5" t="s"/>
      <c r="C151" s="5" t="s"/>
      <c r="D151" s="5" t="s"/>
      <c r="E151" s="5" t="s"/>
      <c r="F151" s="5" t="s"/>
      <c r="G151" s="5" t="s"/>
      <c r="H151" s="9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</row>
    <row r="152" spans="1:20">
      <c r="A152" s="5" t="s"/>
      <c r="B152" s="5" t="s"/>
      <c r="C152" s="5" t="s"/>
      <c r="D152" s="5" t="s"/>
      <c r="E152" s="5" t="s"/>
      <c r="F152" s="5" t="s"/>
      <c r="G152" s="5" t="s"/>
      <c r="H152" s="9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</row>
    <row r="153" spans="1:20">
      <c r="A153" s="5" t="s"/>
      <c r="B153" s="5" t="s"/>
      <c r="C153" s="5" t="s"/>
      <c r="D153" s="5" t="s"/>
      <c r="E153" s="5" t="s"/>
      <c r="F153" s="5" t="s"/>
      <c r="G153" s="5" t="s"/>
      <c r="H153" s="9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</row>
    <row r="154" spans="1:20">
      <c r="A154" s="5" t="s"/>
      <c r="B154" s="5" t="s"/>
      <c r="C154" s="5" t="s"/>
      <c r="D154" s="5" t="s"/>
      <c r="E154" s="5" t="s"/>
      <c r="F154" s="5" t="s"/>
      <c r="G154" s="5" t="s"/>
      <c r="H154" s="9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</row>
    <row r="155" spans="1:20">
      <c r="A155" s="5" t="s"/>
      <c r="B155" s="5" t="s"/>
      <c r="C155" s="5" t="s"/>
      <c r="D155" s="5" t="s"/>
      <c r="E155" s="5" t="s"/>
      <c r="F155" s="5" t="s"/>
      <c r="G155" s="5" t="s"/>
      <c r="H155" s="9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</row>
    <row r="156" spans="1:20">
      <c r="A156" s="5" t="s"/>
      <c r="B156" s="5" t="s"/>
      <c r="C156" s="5" t="s"/>
      <c r="D156" s="5" t="s"/>
      <c r="E156" s="5" t="s"/>
      <c r="F156" s="5" t="s"/>
      <c r="G156" s="5" t="s"/>
      <c r="H156" s="9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</row>
    <row r="157" spans="1:20">
      <c r="A157" s="5" t="s"/>
      <c r="B157" s="5" t="s"/>
      <c r="C157" s="5" t="s"/>
      <c r="D157" s="5" t="s"/>
      <c r="E157" s="5" t="s"/>
      <c r="F157" s="5" t="s"/>
      <c r="G157" s="5" t="s"/>
      <c r="H157" s="9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</row>
    <row r="158" spans="1:20">
      <c r="A158" s="5" t="s"/>
      <c r="B158" s="5" t="s"/>
      <c r="C158" s="5" t="s"/>
      <c r="D158" s="5" t="s"/>
      <c r="E158" s="5" t="s"/>
      <c r="F158" s="5" t="s"/>
      <c r="G158" s="5" t="s"/>
      <c r="H158" s="9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</row>
    <row r="159" spans="1:20">
      <c r="A159" s="5" t="s"/>
      <c r="B159" s="5" t="s"/>
      <c r="C159" s="5" t="s"/>
      <c r="D159" s="5" t="s"/>
      <c r="E159" s="5" t="s"/>
      <c r="F159" s="5" t="s"/>
      <c r="G159" s="5" t="s"/>
      <c r="H159" s="9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</row>
    <row r="160" spans="1:20">
      <c r="A160" s="5" t="s"/>
      <c r="B160" s="5" t="s"/>
      <c r="C160" s="5" t="s"/>
      <c r="D160" s="5" t="s"/>
      <c r="E160" s="5" t="s"/>
      <c r="F160" s="5" t="s"/>
      <c r="G160" s="5" t="s"/>
      <c r="H160" s="9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</row>
    <row r="161" spans="1:20">
      <c r="A161" s="5" t="s"/>
      <c r="B161" s="5" t="s"/>
      <c r="C161" s="5" t="s"/>
      <c r="D161" s="5" t="s"/>
      <c r="E161" s="5" t="s"/>
      <c r="F161" s="5" t="s"/>
      <c r="G161" s="5" t="s"/>
      <c r="H161" s="9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</row>
    <row r="162" spans="1:20">
      <c r="A162" s="5" t="s"/>
      <c r="B162" s="5" t="s"/>
      <c r="C162" s="5" t="s"/>
      <c r="D162" s="5" t="s"/>
      <c r="E162" s="5" t="s"/>
      <c r="F162" s="5" t="s"/>
      <c r="G162" s="5" t="s"/>
      <c r="H162" s="9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</row>
    <row r="163" spans="1:20">
      <c r="A163" s="5" t="s"/>
      <c r="B163" s="5" t="s"/>
      <c r="C163" s="5" t="s"/>
      <c r="D163" s="5" t="s"/>
      <c r="E163" s="5" t="s"/>
      <c r="F163" s="5" t="s"/>
      <c r="G163" s="5" t="s"/>
      <c r="H163" s="9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</row>
    <row r="164" spans="1:20">
      <c r="A164" s="5" t="s"/>
      <c r="B164" s="5" t="s"/>
      <c r="C164" s="5" t="s"/>
      <c r="D164" s="5" t="s"/>
      <c r="E164" s="5" t="s"/>
      <c r="F164" s="5" t="s"/>
      <c r="G164" s="5" t="s"/>
      <c r="H164" s="9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</row>
    <row r="165" spans="1:20">
      <c r="A165" s="5" t="s"/>
      <c r="B165" s="5" t="s"/>
      <c r="C165" s="5" t="s"/>
      <c r="D165" s="5" t="s"/>
      <c r="E165" s="5" t="s"/>
      <c r="F165" s="5" t="s"/>
      <c r="G165" s="5" t="s"/>
      <c r="H165" s="9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</row>
    <row r="166" spans="1:20">
      <c r="A166" s="5" t="s"/>
      <c r="B166" s="5" t="s"/>
      <c r="C166" s="5" t="s"/>
      <c r="D166" s="5" t="s"/>
      <c r="E166" s="5" t="s"/>
      <c r="F166" s="5" t="s"/>
      <c r="G166" s="5" t="s"/>
      <c r="H166" s="9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</row>
    <row r="167" spans="1:20">
      <c r="A167" s="5" t="s"/>
      <c r="B167" s="5" t="s"/>
      <c r="C167" s="5" t="s"/>
      <c r="D167" s="5" t="s"/>
      <c r="E167" s="5" t="s"/>
      <c r="F167" s="5" t="s"/>
      <c r="G167" s="5" t="s"/>
      <c r="H167" s="9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</row>
    <row r="168" spans="1:20">
      <c r="A168" s="5" t="s"/>
      <c r="B168" s="5" t="s"/>
      <c r="C168" s="5" t="s"/>
      <c r="D168" s="5" t="s"/>
      <c r="E168" s="5" t="s"/>
      <c r="F168" s="5" t="s"/>
      <c r="G168" s="5" t="s"/>
      <c r="H168" s="9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</row>
    <row r="169" spans="1:20">
      <c r="A169" s="5" t="s"/>
      <c r="B169" s="5" t="s"/>
      <c r="C169" s="5" t="s"/>
      <c r="D169" s="5" t="s"/>
      <c r="E169" s="5" t="s"/>
      <c r="F169" s="5" t="s"/>
      <c r="G169" s="5" t="s"/>
      <c r="H169" s="9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</row>
    <row r="170" spans="1:20">
      <c r="A170" s="5" t="s"/>
      <c r="B170" s="5" t="s"/>
      <c r="C170" s="5" t="s"/>
      <c r="D170" s="5" t="s"/>
      <c r="E170" s="5" t="s"/>
      <c r="F170" s="5" t="s"/>
      <c r="G170" s="5" t="s"/>
      <c r="H170" s="9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</row>
    <row r="171" spans="1:20">
      <c r="A171" s="5" t="s"/>
      <c r="B171" s="5" t="s"/>
      <c r="C171" s="5" t="s"/>
      <c r="D171" s="5" t="s"/>
      <c r="E171" s="5" t="s"/>
      <c r="F171" s="5" t="s"/>
      <c r="G171" s="5" t="s"/>
      <c r="H171" s="9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</row>
    <row r="172" spans="1:20">
      <c r="A172" s="5" t="s"/>
      <c r="B172" s="5" t="s"/>
      <c r="C172" s="5" t="s"/>
      <c r="D172" s="5" t="s"/>
      <c r="E172" s="5" t="s"/>
      <c r="F172" s="5" t="s"/>
      <c r="G172" s="5" t="s"/>
      <c r="H172" s="9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</row>
    <row r="173" spans="1:20">
      <c r="A173" s="5" t="s"/>
      <c r="B173" s="5" t="s"/>
      <c r="C173" s="5" t="s"/>
      <c r="D173" s="5" t="s"/>
      <c r="E173" s="5" t="s"/>
      <c r="F173" s="5" t="s"/>
      <c r="G173" s="5" t="s"/>
      <c r="H173" s="9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</row>
    <row r="174" spans="1:20">
      <c r="A174" s="5" t="s"/>
      <c r="B174" s="5" t="s"/>
      <c r="C174" s="5" t="s"/>
      <c r="D174" s="5" t="s"/>
      <c r="E174" s="5" t="s"/>
      <c r="F174" s="5" t="s"/>
      <c r="G174" s="5" t="s"/>
      <c r="H174" s="9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</row>
    <row r="175" spans="1:20">
      <c r="A175" s="5" t="s"/>
      <c r="B175" s="5" t="s"/>
      <c r="C175" s="5" t="s"/>
      <c r="D175" s="5" t="s"/>
      <c r="E175" s="5" t="s"/>
      <c r="F175" s="5" t="s"/>
      <c r="G175" s="5" t="s"/>
      <c r="H175" s="9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</row>
    <row r="176" spans="1:20">
      <c r="A176" s="5" t="s"/>
      <c r="B176" s="5" t="s"/>
      <c r="C176" s="5" t="s"/>
      <c r="D176" s="5" t="s"/>
      <c r="E176" s="5" t="s"/>
      <c r="F176" s="5" t="s"/>
      <c r="G176" s="5" t="s"/>
      <c r="H176" s="9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</row>
    <row r="177" spans="1:20">
      <c r="A177" s="5" t="s"/>
      <c r="B177" s="5" t="s"/>
      <c r="C177" s="5" t="s"/>
      <c r="D177" s="5" t="s"/>
      <c r="E177" s="5" t="s"/>
      <c r="F177" s="5" t="s"/>
      <c r="G177" s="5" t="s"/>
      <c r="H177" s="9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</row>
    <row r="178" spans="1:20">
      <c r="A178" s="5" t="s"/>
      <c r="B178" s="5" t="s"/>
      <c r="C178" s="5" t="s"/>
      <c r="D178" s="5" t="s"/>
      <c r="E178" s="5" t="s"/>
      <c r="F178" s="5" t="s"/>
      <c r="G178" s="5" t="s"/>
      <c r="H178" s="9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</row>
    <row r="179" spans="1:20">
      <c r="A179" s="5" t="s"/>
      <c r="B179" s="5" t="s"/>
      <c r="C179" s="5" t="s"/>
      <c r="D179" s="5" t="s"/>
      <c r="E179" s="5" t="s"/>
      <c r="F179" s="5" t="s"/>
      <c r="G179" s="5" t="s"/>
      <c r="H179" s="9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</row>
    <row r="180" spans="1:20">
      <c r="A180" s="5" t="s"/>
      <c r="B180" s="5" t="s"/>
      <c r="C180" s="5" t="s"/>
      <c r="D180" s="5" t="s"/>
      <c r="E180" s="5" t="s"/>
      <c r="F180" s="5" t="s"/>
      <c r="G180" s="5" t="s"/>
      <c r="H180" s="9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</row>
    <row r="181" spans="1:20">
      <c r="A181" s="5" t="s"/>
      <c r="B181" s="5" t="s"/>
      <c r="C181" s="5" t="s"/>
      <c r="D181" s="5" t="s"/>
      <c r="E181" s="5" t="s"/>
      <c r="F181" s="5" t="s"/>
      <c r="G181" s="5" t="s"/>
      <c r="H181" s="9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</row>
    <row r="182" spans="1:20">
      <c r="A182" s="5" t="s"/>
      <c r="B182" s="5" t="s"/>
      <c r="C182" s="5" t="s"/>
      <c r="D182" s="5" t="s"/>
      <c r="E182" s="5" t="s"/>
      <c r="F182" s="5" t="s"/>
      <c r="G182" s="5" t="s"/>
      <c r="H182" s="9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</row>
    <row r="183" spans="1:20">
      <c r="A183" s="5" t="s"/>
      <c r="B183" s="5" t="s"/>
      <c r="C183" s="5" t="s"/>
      <c r="D183" s="5" t="s"/>
      <c r="E183" s="5" t="s"/>
      <c r="F183" s="5" t="s"/>
      <c r="G183" s="5" t="s"/>
      <c r="H183" s="9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</row>
    <row r="184" spans="1:20">
      <c r="A184" s="5" t="s"/>
      <c r="B184" s="5" t="s"/>
      <c r="C184" s="5" t="s"/>
      <c r="D184" s="5" t="s"/>
      <c r="E184" s="5" t="s"/>
      <c r="F184" s="5" t="s"/>
      <c r="G184" s="5" t="s"/>
      <c r="H184" s="9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</row>
    <row r="185" spans="1:20">
      <c r="A185" s="5" t="s"/>
      <c r="B185" s="5" t="s"/>
      <c r="C185" s="5" t="s"/>
      <c r="D185" s="5" t="s"/>
      <c r="E185" s="5" t="s"/>
      <c r="F185" s="5" t="s"/>
      <c r="G185" s="5" t="s"/>
      <c r="H185" s="9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</row>
    <row r="186" spans="1:20">
      <c r="A186" s="5" t="s"/>
      <c r="B186" s="5" t="s"/>
      <c r="C186" s="5" t="s"/>
      <c r="D186" s="5" t="s"/>
      <c r="E186" s="5" t="s"/>
      <c r="F186" s="5" t="s"/>
      <c r="G186" s="5" t="s"/>
      <c r="H186" s="9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</row>
    <row r="187" spans="1:20">
      <c r="A187" s="5" t="s"/>
      <c r="B187" s="5" t="s"/>
      <c r="C187" s="5" t="s"/>
      <c r="D187" s="5" t="s"/>
      <c r="E187" s="5" t="s"/>
      <c r="F187" s="5" t="s"/>
      <c r="G187" s="5" t="s"/>
      <c r="H187" s="9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</row>
    <row r="188" spans="1:20">
      <c r="A188" s="5" t="s"/>
      <c r="B188" s="5" t="s"/>
      <c r="C188" s="5" t="s"/>
      <c r="D188" s="5" t="s"/>
      <c r="E188" s="5" t="s"/>
      <c r="F188" s="5" t="s"/>
      <c r="G188" s="5" t="s"/>
      <c r="H188" s="9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</row>
    <row r="189" spans="1:20">
      <c r="A189" s="5" t="s"/>
      <c r="B189" s="5" t="s"/>
      <c r="C189" s="5" t="s"/>
      <c r="D189" s="5" t="s"/>
      <c r="E189" s="5" t="s"/>
      <c r="F189" s="5" t="s"/>
      <c r="G189" s="5" t="s"/>
      <c r="H189" s="9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</row>
    <row r="190" spans="1:20">
      <c r="A190" s="5" t="s"/>
      <c r="B190" s="5" t="s"/>
      <c r="C190" s="5" t="s"/>
      <c r="D190" s="5" t="s"/>
      <c r="E190" s="5" t="s"/>
      <c r="F190" s="5" t="s"/>
      <c r="G190" s="5" t="s"/>
      <c r="H190" s="9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</row>
    <row r="191" spans="1:20">
      <c r="A191" s="5" t="s"/>
      <c r="B191" s="5" t="s"/>
      <c r="C191" s="5" t="s"/>
      <c r="D191" s="5" t="s"/>
      <c r="E191" s="5" t="s"/>
      <c r="F191" s="5" t="s"/>
      <c r="G191" s="5" t="s"/>
      <c r="H191" s="9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</row>
    <row r="192" spans="1:20">
      <c r="A192" s="5" t="s"/>
      <c r="B192" s="5" t="s"/>
      <c r="C192" s="5" t="s"/>
      <c r="D192" s="5" t="s"/>
      <c r="E192" s="5" t="s"/>
      <c r="F192" s="5" t="s"/>
      <c r="G192" s="5" t="s"/>
      <c r="H192" s="9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</row>
    <row r="193" spans="1:20">
      <c r="A193" s="5" t="s"/>
      <c r="B193" s="5" t="s"/>
      <c r="C193" s="5" t="s"/>
      <c r="D193" s="5" t="s"/>
      <c r="E193" s="5" t="s"/>
      <c r="F193" s="5" t="s"/>
      <c r="G193" s="5" t="s"/>
      <c r="H193" s="9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</row>
    <row r="194" spans="1:20">
      <c r="A194" s="5" t="s"/>
      <c r="B194" s="5" t="s"/>
      <c r="C194" s="5" t="s"/>
      <c r="D194" s="5" t="s"/>
      <c r="E194" s="5" t="s"/>
      <c r="F194" s="5" t="s"/>
      <c r="G194" s="5" t="s"/>
      <c r="H194" s="9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</row>
    <row r="195" spans="1:20">
      <c r="A195" s="5" t="s"/>
      <c r="B195" s="5" t="s"/>
      <c r="C195" s="5" t="s"/>
      <c r="D195" s="5" t="s"/>
      <c r="E195" s="5" t="s"/>
      <c r="F195" s="5" t="s"/>
      <c r="G195" s="5" t="s"/>
      <c r="H195" s="9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</row>
    <row r="196" spans="1:20">
      <c r="A196" s="5" t="s"/>
      <c r="B196" s="5" t="s"/>
      <c r="C196" s="5" t="s"/>
      <c r="D196" s="5" t="s"/>
      <c r="E196" s="5" t="s"/>
      <c r="F196" s="5" t="s"/>
      <c r="G196" s="5" t="s"/>
      <c r="H196" s="9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</row>
    <row r="197" spans="1:20">
      <c r="A197" s="5" t="s"/>
      <c r="B197" s="5" t="s"/>
      <c r="C197" s="5" t="s"/>
      <c r="D197" s="5" t="s"/>
      <c r="E197" s="5" t="s"/>
      <c r="F197" s="5" t="s"/>
      <c r="G197" s="5" t="s"/>
      <c r="H197" s="9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</row>
    <row r="198" spans="1:20">
      <c r="A198" s="5" t="s"/>
      <c r="B198" s="5" t="s"/>
      <c r="C198" s="5" t="s"/>
      <c r="D198" s="5" t="s"/>
      <c r="E198" s="5" t="s"/>
      <c r="F198" s="5" t="s"/>
      <c r="G198" s="5" t="s"/>
      <c r="H198" s="9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</row>
    <row r="199" spans="1:20">
      <c r="A199" s="5" t="s"/>
      <c r="B199" s="5" t="s"/>
      <c r="C199" s="5" t="s"/>
      <c r="D199" s="5" t="s"/>
      <c r="E199" s="5" t="s"/>
      <c r="F199" s="5" t="s"/>
      <c r="G199" s="5" t="s"/>
      <c r="H199" s="9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</row>
    <row r="200" spans="1:20">
      <c r="A200" s="5" t="s"/>
      <c r="B200" s="5" t="s"/>
      <c r="C200" s="5" t="s"/>
      <c r="D200" s="5" t="s"/>
      <c r="E200" s="5" t="s"/>
      <c r="F200" s="5" t="s"/>
      <c r="G200" s="5" t="s"/>
      <c r="H200" s="9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</row>
  </sheetData>
  <autoFilter ref="A1:P12">
    <extLst/>
  </autoFilter>
  <dataValidations>
    <dataValidation type="list" operator="between" allowBlank="1" showErrorMessage="1" sqref="G2:G12">
      <formula1>"A级,B级,C级"</formula1>
    </dataValidation>
    <dataValidation type="list" operator="between" allowBlank="1" showErrorMessage="1" sqref="M2:M12">
      <formula1>"未开始,初步接触,跟进中,深度合作,已完成,暂停"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>
    <outlinePr summaryBelow="0" summaryRight="0"/>
  </sheetPr>
  <dimension ref="P200"/>
  <sheetViews>
    <sheetView showGridLines="0" workbookViewId="0">
      <pane xSplit="1" ySplit="1" topLeftCell="B2" activePane="bottomRight" state="frozen"/>
    </sheetView>
  </sheetViews>
  <sheetFormatPr defaultColWidth="8" defaultRowHeight="14.25"/>
  <cols>
    <col min="1" max="1" width="5" customWidth="1"/>
    <col min="2" max="2" width="20" customWidth="1"/>
    <col min="3" max="4" width="10" customWidth="1"/>
    <col min="5" max="5" width="13" customWidth="1"/>
    <col min="6" max="6" width="7" customWidth="1"/>
    <col min="7" max="7" width="13.8167" customWidth="1"/>
    <col min="8" max="8" width="34.45" customWidth="1"/>
    <col min="9" max="9" width="22.3" customWidth="1"/>
    <col min="10" max="10" width="12" customWidth="1"/>
    <col min="11" max="11" width="24" customWidth="1"/>
    <col min="12" max="12" width="14" customWidth="1"/>
    <col min="13" max="13" width="10" customWidth="1"/>
    <col min="14" max="14" width="9" customWidth="1"/>
    <col min="15" max="15" width="24" customWidth="1"/>
    <col min="16" max="16" width="16" customWidth="1"/>
  </cols>
  <sheetData>
    <row r="1" spans="1:20" ht="29.25" customHeight="1">
      <c r="A1" s="4" t="s">
        <v>1</v>
      </c>
      <c r="B1" s="4" t="s">
        <v>306</v>
      </c>
      <c r="C1" s="4" t="s">
        <v>307</v>
      </c>
      <c r="D1" s="4" t="s">
        <v>111</v>
      </c>
      <c r="E1" s="4" t="s">
        <v>6</v>
      </c>
      <c r="F1" s="4" t="s">
        <v>7</v>
      </c>
      <c r="G1" s="4" t="s">
        <v>308</v>
      </c>
      <c r="H1" s="4" t="s">
        <v>9</v>
      </c>
      <c r="I1" s="4" t="s">
        <v>309</v>
      </c>
      <c r="J1" s="4" t="s">
        <v>310</v>
      </c>
      <c r="K1" s="4" t="s">
        <v>311</v>
      </c>
      <c r="L1" s="4" t="s">
        <v>312</v>
      </c>
      <c r="M1" s="4" t="s">
        <v>12</v>
      </c>
      <c r="N1" s="4" t="s">
        <v>13</v>
      </c>
      <c r="O1" s="4" t="s">
        <v>14</v>
      </c>
      <c r="P1" s="4" t="s">
        <v>16</v>
      </c>
      <c r="Q1" s="4" t="s">
        <v>17</v>
      </c>
      <c r="R1" s="4" t="s">
        <v>18</v>
      </c>
      <c r="S1" s="4" t="s">
        <v>19</v>
      </c>
      <c r="T1" s="5" t="s"/>
    </row>
    <row r="2" spans="1:19" ht="42.75">
      <c r="A2" s="6">
        <v>1</v>
      </c>
      <c r="B2" s="7" t="s">
        <v>165</v>
      </c>
      <c r="C2" s="6" t="s">
        <v>166</v>
      </c>
      <c r="D2" s="7" t="s"/>
      <c r="E2" s="7" t="s"/>
      <c r="F2" s="6" t="s">
        <v>22</v>
      </c>
      <c r="G2" s="6" t="s"/>
      <c r="H2" s="6" t="s">
        <v>167</v>
      </c>
      <c r="I2" s="6" t="s">
        <v>24</v>
      </c>
      <c r="J2" s="6" t="s">
        <v>32</v>
      </c>
      <c r="K2" s="7" t="s"/>
      <c r="L2" s="7" t="s"/>
      <c r="M2" s="8" t="s"/>
      <c r="N2" s="6" t="s">
        <f>=IF(M2=0,"待启动",IF(M2&gt;=1,"已完成",IF(M2&gt;=0.5,"进行中","推进中")))</f>
        <v>26</v>
      </c>
      <c r="O2" s="7" t="s"/>
      <c r="P2" s="7" t="s"/>
      <c r="Q2" s="7" t="s"/>
      <c r="R2" s="7" t="s">
        <v>27</v>
      </c>
      <c r="S2" s="7" t="s">
        <v>168</v>
      </c>
    </row>
    <row r="3" spans="1:19" ht="42.75">
      <c r="A3" s="6">
        <v>2</v>
      </c>
      <c r="B3" s="7" t="s">
        <v>165</v>
      </c>
      <c r="C3" s="6" t="s">
        <v>166</v>
      </c>
      <c r="D3" s="7" t="s"/>
      <c r="E3" s="7" t="s"/>
      <c r="F3" s="6" t="s">
        <v>22</v>
      </c>
      <c r="G3" s="6" t="s"/>
      <c r="H3" s="6" t="s">
        <v>170</v>
      </c>
      <c r="I3" s="6" t="s">
        <v>33</v>
      </c>
      <c r="J3" s="6" t="s">
        <v>37</v>
      </c>
      <c r="K3" s="7" t="s"/>
      <c r="L3" s="7" t="s"/>
      <c r="M3" s="8" t="s"/>
      <c r="N3" s="6" t="s">
        <f>=IF(M3=0,"待启动",IF(M3&gt;=1,"已完成",IF(M3&gt;=0.5,"进行中","推进中")))</f>
        <v>26</v>
      </c>
      <c r="O3" s="7" t="s"/>
      <c r="P3" s="7" t="s"/>
      <c r="Q3" s="7" t="s"/>
      <c r="R3" s="7" t="s">
        <v>27</v>
      </c>
      <c r="S3" s="7" t="s">
        <v>168</v>
      </c>
    </row>
    <row r="4" spans="1:19" ht="42.75">
      <c r="A4" s="6">
        <v>3</v>
      </c>
      <c r="B4" s="7" t="s">
        <v>171</v>
      </c>
      <c r="C4" s="6" t="s">
        <v>166</v>
      </c>
      <c r="D4" s="7" t="s"/>
      <c r="E4" s="7" t="s"/>
      <c r="F4" s="6" t="s">
        <v>30</v>
      </c>
      <c r="G4" s="6" t="s"/>
      <c r="H4" s="6" t="s">
        <v>172</v>
      </c>
      <c r="I4" s="6" t="s">
        <v>24</v>
      </c>
      <c r="J4" s="6" t="s">
        <v>32</v>
      </c>
      <c r="K4" s="7" t="s"/>
      <c r="L4" s="7" t="s"/>
      <c r="M4" s="8" t="s"/>
      <c r="N4" s="6" t="s">
        <f>=IF(M4=0,"待启动",IF(M4&gt;=1,"已完成",IF(M4&gt;=0.5,"进行中","推进中")))</f>
        <v>26</v>
      </c>
      <c r="O4" s="7" t="s"/>
      <c r="P4" s="7" t="s"/>
      <c r="Q4" s="7" t="s"/>
      <c r="R4" s="7" t="s">
        <v>27</v>
      </c>
      <c r="S4" s="7" t="s">
        <v>168</v>
      </c>
    </row>
    <row r="5" spans="1:19" ht="42.75">
      <c r="A5" s="6">
        <v>4</v>
      </c>
      <c r="B5" s="7" t="s">
        <v>173</v>
      </c>
      <c r="C5" s="6" t="s">
        <v>166</v>
      </c>
      <c r="D5" s="7" t="s"/>
      <c r="E5" s="7" t="s"/>
      <c r="F5" s="6" t="s">
        <v>30</v>
      </c>
      <c r="G5" s="6" t="s"/>
      <c r="H5" s="6" t="s">
        <v>174</v>
      </c>
      <c r="I5" s="6" t="s">
        <v>36</v>
      </c>
      <c r="J5" s="6" t="s">
        <v>79</v>
      </c>
      <c r="K5" s="7" t="s"/>
      <c r="L5" s="7" t="s"/>
      <c r="M5" s="8" t="s"/>
      <c r="N5" s="6" t="s">
        <f>=IF(M5=0,"待启动",IF(M5&gt;=1,"已完成",IF(M5&gt;=0.5,"进行中","推进中")))</f>
        <v>26</v>
      </c>
      <c r="O5" s="7" t="s"/>
      <c r="P5" s="7" t="s"/>
      <c r="Q5" s="7" t="s"/>
      <c r="R5" s="7" t="s">
        <v>27</v>
      </c>
      <c r="S5" s="7" t="s">
        <v>168</v>
      </c>
    </row>
    <row r="6" spans="1:19" ht="42.75">
      <c r="A6" s="6">
        <v>5</v>
      </c>
      <c r="B6" s="7" t="s">
        <v>175</v>
      </c>
      <c r="C6" s="6" t="s">
        <v>166</v>
      </c>
      <c r="D6" s="7" t="s"/>
      <c r="E6" s="7" t="s"/>
      <c r="F6" s="6" t="s">
        <v>30</v>
      </c>
      <c r="G6" s="6" t="s"/>
      <c r="H6" s="6" t="s">
        <v>176</v>
      </c>
      <c r="I6" s="6" t="s">
        <v>25</v>
      </c>
      <c r="J6" s="6" t="s">
        <v>33</v>
      </c>
      <c r="K6" s="7" t="s"/>
      <c r="L6" s="7" t="s"/>
      <c r="M6" s="8" t="s"/>
      <c r="N6" s="6" t="s">
        <f>=IF(M6=0,"待启动",IF(M6&gt;=1,"已完成",IF(M6&gt;=0.5,"进行中","推进中")))</f>
        <v>26</v>
      </c>
      <c r="O6" s="7" t="s"/>
      <c r="P6" s="7" t="s">
        <v>313</v>
      </c>
      <c r="Q6" s="7" t="s"/>
      <c r="R6" s="7" t="s">
        <v>27</v>
      </c>
      <c r="S6" s="7" t="s">
        <v>168</v>
      </c>
    </row>
    <row r="7" spans="1:19" ht="42.75">
      <c r="A7" s="6">
        <v>6</v>
      </c>
      <c r="B7" s="7" t="s">
        <v>177</v>
      </c>
      <c r="C7" s="6" t="s">
        <v>178</v>
      </c>
      <c r="D7" s="7" t="s"/>
      <c r="E7" s="7" t="s"/>
      <c r="F7" s="6" t="s">
        <v>22</v>
      </c>
      <c r="G7" s="6" t="s"/>
      <c r="H7" s="6" t="s">
        <v>179</v>
      </c>
      <c r="I7" s="6" t="s">
        <v>24</v>
      </c>
      <c r="J7" s="6" t="s">
        <v>32</v>
      </c>
      <c r="K7" s="7" t="s"/>
      <c r="L7" s="7" t="s"/>
      <c r="M7" s="8" t="s"/>
      <c r="N7" s="6" t="s">
        <f>=IF(M7=0,"待启动",IF(M7&gt;=1,"已完成",IF(M7&gt;=0.5,"进行中","推进中")))</f>
        <v>26</v>
      </c>
      <c r="O7" s="7" t="s"/>
      <c r="P7" s="7" t="s"/>
      <c r="Q7" s="7" t="s"/>
      <c r="R7" s="7" t="s">
        <v>27</v>
      </c>
      <c r="S7" s="7" t="s">
        <v>168</v>
      </c>
    </row>
    <row r="8" spans="1:19" ht="42.75">
      <c r="A8" s="6">
        <v>7</v>
      </c>
      <c r="B8" s="7" t="s">
        <v>177</v>
      </c>
      <c r="C8" s="6" t="s">
        <v>178</v>
      </c>
      <c r="D8" s="7" t="s"/>
      <c r="E8" s="7" t="s"/>
      <c r="F8" s="6" t="s">
        <v>22</v>
      </c>
      <c r="G8" s="6" t="s"/>
      <c r="H8" s="6" t="s">
        <v>180</v>
      </c>
      <c r="I8" s="6" t="s">
        <v>33</v>
      </c>
      <c r="J8" s="6" t="s">
        <v>37</v>
      </c>
      <c r="K8" s="7" t="s"/>
      <c r="L8" s="7" t="s"/>
      <c r="M8" s="8" t="s"/>
      <c r="N8" s="6" t="s">
        <f>=IF(M8=0,"待启动",IF(M8&gt;=1,"已完成",IF(M8&gt;=0.5,"进行中","推进中")))</f>
        <v>26</v>
      </c>
      <c r="O8" s="7" t="s"/>
      <c r="P8" s="7" t="s"/>
      <c r="Q8" s="7" t="s"/>
      <c r="R8" s="7" t="s">
        <v>27</v>
      </c>
      <c r="S8" s="7" t="s">
        <v>168</v>
      </c>
    </row>
    <row r="9" spans="1:19" ht="42.75">
      <c r="A9" s="6">
        <v>8</v>
      </c>
      <c r="B9" s="7" t="s">
        <v>181</v>
      </c>
      <c r="C9" s="6" t="s">
        <v>178</v>
      </c>
      <c r="D9" s="7" t="s"/>
      <c r="E9" s="7" t="s"/>
      <c r="F9" s="6" t="s">
        <v>30</v>
      </c>
      <c r="G9" s="6" t="s"/>
      <c r="H9" s="6" t="s">
        <v>182</v>
      </c>
      <c r="I9" s="6" t="s">
        <v>25</v>
      </c>
      <c r="J9" s="6" t="s">
        <v>33</v>
      </c>
      <c r="K9" s="7" t="s"/>
      <c r="L9" s="7" t="s"/>
      <c r="M9" s="8" t="s"/>
      <c r="N9" s="6" t="s">
        <f>=IF(M9=0,"待启动",IF(M9&gt;=1,"已完成",IF(M9&gt;=0.5,"进行中","推进中")))</f>
        <v>26</v>
      </c>
      <c r="O9" s="7" t="s"/>
      <c r="P9" s="7" t="s"/>
      <c r="Q9" s="7" t="s"/>
      <c r="R9" s="7" t="s">
        <v>27</v>
      </c>
      <c r="S9" s="7" t="s">
        <v>168</v>
      </c>
    </row>
    <row r="10" spans="1:19" ht="42.75">
      <c r="A10" s="6">
        <v>9</v>
      </c>
      <c r="B10" s="7" t="s">
        <v>183</v>
      </c>
      <c r="C10" s="6" t="s">
        <v>178</v>
      </c>
      <c r="D10" s="7" t="s"/>
      <c r="E10" s="7" t="s"/>
      <c r="F10" s="6" t="s">
        <v>30</v>
      </c>
      <c r="G10" s="6" t="s"/>
      <c r="H10" s="6" t="s">
        <v>184</v>
      </c>
      <c r="I10" s="6" t="s">
        <v>79</v>
      </c>
      <c r="J10" s="6" t="s">
        <v>49</v>
      </c>
      <c r="K10" s="7" t="s"/>
      <c r="L10" s="7" t="s"/>
      <c r="M10" s="8" t="s"/>
      <c r="N10" s="6" t="s">
        <f>=IF(M10=0,"待启动",IF(M10&gt;=1,"已完成",IF(M10&gt;=0.5,"进行中","推进中")))</f>
        <v>26</v>
      </c>
      <c r="O10" s="7" t="s"/>
      <c r="P10" s="7" t="s"/>
      <c r="Q10" s="7" t="s"/>
      <c r="R10" s="7" t="s">
        <v>27</v>
      </c>
      <c r="S10" s="7" t="s">
        <v>168</v>
      </c>
    </row>
    <row r="11" spans="1:19" ht="42.75">
      <c r="A11" s="6">
        <v>10</v>
      </c>
      <c r="B11" s="7" t="s">
        <v>185</v>
      </c>
      <c r="C11" s="6" t="s">
        <v>178</v>
      </c>
      <c r="D11" s="7" t="s"/>
      <c r="E11" s="7" t="s"/>
      <c r="F11" s="6" t="s">
        <v>47</v>
      </c>
      <c r="G11" s="6" t="s"/>
      <c r="H11" s="6" t="s">
        <v>186</v>
      </c>
      <c r="I11" s="6" t="s">
        <v>187</v>
      </c>
      <c r="J11" s="6" t="s">
        <v>50</v>
      </c>
      <c r="K11" s="7" t="s"/>
      <c r="L11" s="7" t="s"/>
      <c r="M11" s="8" t="s"/>
      <c r="N11" s="6" t="s">
        <f>=IF(M11=0,"待启动",IF(M11&gt;=1,"已完成",IF(M11&gt;=0.5,"进行中","推进中")))</f>
        <v>26</v>
      </c>
      <c r="O11" s="7" t="s"/>
      <c r="P11" s="7" t="s"/>
      <c r="Q11" s="7" t="s"/>
      <c r="R11" s="7" t="s">
        <v>27</v>
      </c>
      <c r="S11" s="7" t="s">
        <v>168</v>
      </c>
    </row>
    <row r="12" spans="1:19" ht="42.75">
      <c r="A12" s="6">
        <v>11</v>
      </c>
      <c r="B12" s="7" t="s">
        <v>188</v>
      </c>
      <c r="C12" s="6" t="s">
        <v>189</v>
      </c>
      <c r="D12" s="7" t="s"/>
      <c r="E12" s="7" t="s"/>
      <c r="F12" s="6" t="s">
        <v>30</v>
      </c>
      <c r="G12" s="6" t="s"/>
      <c r="H12" s="6" t="s">
        <v>190</v>
      </c>
      <c r="I12" s="6" t="s">
        <v>24</v>
      </c>
      <c r="J12" s="6" t="s">
        <v>32</v>
      </c>
      <c r="K12" s="7" t="s"/>
      <c r="L12" s="7" t="s"/>
      <c r="M12" s="8" t="s"/>
      <c r="N12" s="6" t="s">
        <f>=IF(M12=0,"待启动",IF(M12&gt;=1,"已完成",IF(M12&gt;=0.5,"进行中","推进中")))</f>
        <v>26</v>
      </c>
      <c r="O12" s="7" t="s"/>
      <c r="P12" s="7" t="s"/>
      <c r="Q12" s="7" t="s"/>
      <c r="R12" s="7" t="s">
        <v>27</v>
      </c>
      <c r="S12" s="7" t="s">
        <v>168</v>
      </c>
    </row>
    <row r="13" spans="1:19" ht="42.75">
      <c r="A13" s="6">
        <v>12</v>
      </c>
      <c r="B13" s="7" t="s">
        <v>191</v>
      </c>
      <c r="C13" s="6" t="s">
        <v>189</v>
      </c>
      <c r="D13" s="7" t="s"/>
      <c r="E13" s="7" t="s"/>
      <c r="F13" s="6" t="s">
        <v>47</v>
      </c>
      <c r="G13" s="6" t="s"/>
      <c r="H13" s="6" t="s">
        <v>190</v>
      </c>
      <c r="I13" s="6" t="s">
        <v>24</v>
      </c>
      <c r="J13" s="6" t="s">
        <v>32</v>
      </c>
      <c r="K13" s="7" t="s"/>
      <c r="L13" s="7" t="s"/>
      <c r="M13" s="8" t="s"/>
      <c r="N13" s="6" t="s">
        <f>=IF(M13=0,"待启动",IF(M13&gt;=1,"已完成",IF(M13&gt;=0.5,"进行中","推进中")))</f>
        <v>26</v>
      </c>
      <c r="O13" s="7" t="s"/>
      <c r="P13" s="7" t="s"/>
      <c r="Q13" s="7" t="s"/>
      <c r="R13" s="7" t="s">
        <v>27</v>
      </c>
      <c r="S13" s="7" t="s">
        <v>168</v>
      </c>
    </row>
    <row r="14" spans="1:19" ht="42.75">
      <c r="A14" s="6">
        <v>13</v>
      </c>
      <c r="B14" s="7" t="s">
        <v>192</v>
      </c>
      <c r="C14" s="6" t="s">
        <v>189</v>
      </c>
      <c r="D14" s="7" t="s"/>
      <c r="E14" s="7" t="s"/>
      <c r="F14" s="6" t="s">
        <v>47</v>
      </c>
      <c r="G14" s="6" t="s"/>
      <c r="H14" s="6" t="s">
        <v>193</v>
      </c>
      <c r="I14" s="6" t="s">
        <v>24</v>
      </c>
      <c r="J14" s="6" t="s">
        <v>32</v>
      </c>
      <c r="K14" s="7" t="s"/>
      <c r="L14" s="7" t="s"/>
      <c r="M14" s="8" t="s"/>
      <c r="N14" s="6" t="s">
        <f>=IF(M14=0,"待启动",IF(M14&gt;=1,"已完成",IF(M14&gt;=0.5,"进行中","推进中")))</f>
        <v>26</v>
      </c>
      <c r="O14" s="7" t="s"/>
      <c r="P14" s="7" t="s"/>
      <c r="Q14" s="7" t="s"/>
      <c r="R14" s="7" t="s">
        <v>27</v>
      </c>
      <c r="S14" s="7" t="s">
        <v>168</v>
      </c>
    </row>
    <row r="15" spans="1:19" ht="42.75">
      <c r="A15" s="6">
        <v>14</v>
      </c>
      <c r="B15" s="7" t="s">
        <v>194</v>
      </c>
      <c r="C15" s="6" t="s">
        <v>195</v>
      </c>
      <c r="D15" s="7" t="s"/>
      <c r="E15" s="7" t="s"/>
      <c r="F15" s="6" t="s">
        <v>30</v>
      </c>
      <c r="G15" s="6" t="s"/>
      <c r="H15" s="6" t="s">
        <v>196</v>
      </c>
      <c r="I15" s="6" t="s">
        <v>187</v>
      </c>
      <c r="J15" s="6" t="s">
        <v>50</v>
      </c>
      <c r="K15" s="7" t="s"/>
      <c r="L15" s="7" t="s"/>
      <c r="M15" s="8" t="s"/>
      <c r="N15" s="6" t="s">
        <f>=IF(M15=0,"待启动",IF(M15&gt;=1,"已完成",IF(M15&gt;=0.5,"进行中","推进中")))</f>
        <v>26</v>
      </c>
      <c r="O15" s="7" t="s"/>
      <c r="P15" s="7" t="s"/>
      <c r="Q15" s="7" t="s"/>
      <c r="R15" s="7" t="s">
        <v>27</v>
      </c>
      <c r="S15" s="7" t="s">
        <v>168</v>
      </c>
    </row>
    <row r="16" spans="1:16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</row>
    <row r="17" spans="1:16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</row>
    <row r="18" spans="1:16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</row>
    <row r="19" spans="1:16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</row>
    <row r="20" spans="1:16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</row>
    <row r="21" spans="1:16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</row>
    <row r="22" spans="1:16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</row>
    <row r="23" spans="1:16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</row>
    <row r="24" spans="1:16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</row>
    <row r="25" spans="1:16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</row>
    <row r="26" spans="1:16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</row>
    <row r="27" spans="1:16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</row>
    <row r="28" spans="1:16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</row>
    <row r="29" spans="1:16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</row>
    <row r="30" spans="1:16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</row>
    <row r="31" spans="1:16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</row>
    <row r="32" spans="1:16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</row>
    <row r="33" spans="1:16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</row>
    <row r="34" spans="1:16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</row>
    <row r="35" spans="1:1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</row>
    <row r="36" spans="1:1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</row>
    <row r="37" spans="1:1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</row>
    <row r="38" spans="1:1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</row>
    <row r="39" spans="1:1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</row>
    <row r="40" spans="1:1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</row>
    <row r="41" spans="1:1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</row>
    <row r="42" spans="1:1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</row>
    <row r="43" spans="1:1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</row>
    <row r="44" spans="1:1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</row>
    <row r="45" spans="1:1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</row>
    <row r="46" spans="1:1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</row>
    <row r="47" spans="1:1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</row>
    <row r="48" spans="1:1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</row>
    <row r="49" spans="1:1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</row>
    <row r="50" spans="1:1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</row>
    <row r="51" spans="1:1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</row>
    <row r="52" spans="1:1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</row>
    <row r="53" spans="1:1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</row>
    <row r="54" spans="1:1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</row>
    <row r="55" spans="1:1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</row>
    <row r="56" spans="1:1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</row>
    <row r="57" spans="1:1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</row>
    <row r="58" spans="1:1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</row>
    <row r="59" spans="1:1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</row>
    <row r="60" spans="1:1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</row>
    <row r="61" spans="1:1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</row>
    <row r="62" spans="1:1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</row>
    <row r="63" spans="1:1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</row>
    <row r="64" spans="1:1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</row>
    <row r="65" spans="1:1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</row>
    <row r="66" spans="1:1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</row>
    <row r="67" spans="1:1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</row>
    <row r="68" spans="1:1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</row>
    <row r="69" spans="1:1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</row>
    <row r="70" spans="1:1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</row>
    <row r="71" spans="1:1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</row>
    <row r="72" spans="1:1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</row>
    <row r="73" spans="1:1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</row>
    <row r="74" spans="1:1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</row>
    <row r="75" spans="1:1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</row>
    <row r="76" spans="1:1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</row>
    <row r="77" spans="1:1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</row>
    <row r="78" spans="1:1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</row>
    <row r="79" spans="1:1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</row>
    <row r="80" spans="1:1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</row>
    <row r="81" spans="1:1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</row>
    <row r="82" spans="1:1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</row>
    <row r="83" spans="1:1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</row>
    <row r="84" spans="1:1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</row>
    <row r="85" spans="1:1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</row>
    <row r="86" spans="1:1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</row>
    <row r="87" spans="1:1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</row>
    <row r="88" spans="1:1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</row>
    <row r="89" spans="1:1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</row>
    <row r="90" spans="1:1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</row>
    <row r="91" spans="1:1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</row>
    <row r="92" spans="1:1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</row>
    <row r="93" spans="1:1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</row>
    <row r="94" spans="1:1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</row>
    <row r="95" spans="1:1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</row>
    <row r="96" spans="1:1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</row>
    <row r="97" spans="1:1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</row>
    <row r="98" spans="1:1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</row>
    <row r="99" spans="1:1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</row>
    <row r="100" spans="1:1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</row>
    <row r="101" spans="1:1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</row>
    <row r="102" spans="1:1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</row>
    <row r="103" spans="1:1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</row>
    <row r="104" spans="1:1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</row>
    <row r="105" spans="1:1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</row>
    <row r="106" spans="1:1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</row>
    <row r="107" spans="1:1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</row>
    <row r="108" spans="1:1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</row>
    <row r="109" spans="1:1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</row>
    <row r="110" spans="1:1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</row>
    <row r="111" spans="1:1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</row>
    <row r="112" spans="1:1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</row>
    <row r="113" spans="1:1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</row>
    <row r="114" spans="1:1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</row>
    <row r="115" spans="1:1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</row>
    <row r="116" spans="1:1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</row>
    <row r="117" spans="1:1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</row>
    <row r="118" spans="1:1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</row>
    <row r="119" spans="1:1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</row>
    <row r="120" spans="1:1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</row>
    <row r="121" spans="1:1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</row>
    <row r="122" spans="1:1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</row>
    <row r="123" spans="1:1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</row>
    <row r="124" spans="1:1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</row>
    <row r="125" spans="1:1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</row>
    <row r="126" spans="1:1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</row>
    <row r="127" spans="1:1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</row>
    <row r="128" spans="1:1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</row>
    <row r="129" spans="1:1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</row>
    <row r="130" spans="1:1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</row>
    <row r="131" spans="1:1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</row>
    <row r="132" spans="1:1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</row>
    <row r="133" spans="1:1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</row>
    <row r="134" spans="1:1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</row>
    <row r="135" spans="1:1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</row>
    <row r="136" spans="1:1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</row>
    <row r="137" spans="1:1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</row>
    <row r="138" spans="1:1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</row>
    <row r="139" spans="1:1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</row>
    <row r="140" spans="1:1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</row>
    <row r="141" spans="1:1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</row>
    <row r="142" spans="1:1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</row>
    <row r="143" spans="1:1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</row>
    <row r="144" spans="1:1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</row>
    <row r="145" spans="1:1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</row>
    <row r="146" spans="1:1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</row>
    <row r="147" spans="1:1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</row>
    <row r="148" spans="1:1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</row>
    <row r="149" spans="1:1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</row>
    <row r="150" spans="1:1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</row>
    <row r="151" spans="1:1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</row>
    <row r="152" spans="1:1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</row>
    <row r="153" spans="1:1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</row>
    <row r="154" spans="1:1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</row>
    <row r="155" spans="1:1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</row>
    <row r="156" spans="1:1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</row>
    <row r="157" spans="1:1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</row>
    <row r="158" spans="1:1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</row>
    <row r="159" spans="1:1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</row>
    <row r="160" spans="1:1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</row>
    <row r="161" spans="1:1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</row>
    <row r="162" spans="1:1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</row>
    <row r="163" spans="1:1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</row>
    <row r="164" spans="1:1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</row>
    <row r="165" spans="1:1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</row>
    <row r="166" spans="1:1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</row>
    <row r="167" spans="1:1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</row>
    <row r="168" spans="1:1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</row>
    <row r="169" spans="1:1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</row>
    <row r="170" spans="1:1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</row>
    <row r="171" spans="1:1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</row>
    <row r="172" spans="1:1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</row>
    <row r="173" spans="1:1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</row>
    <row r="174" spans="1:1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</row>
    <row r="175" spans="1:1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</row>
    <row r="176" spans="1:1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</row>
    <row r="177" spans="1:1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</row>
    <row r="178" spans="1:1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</row>
    <row r="179" spans="1:1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</row>
    <row r="180" spans="1:1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</row>
    <row r="181" spans="1:1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</row>
    <row r="182" spans="1:1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</row>
    <row r="183" spans="1:1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</row>
    <row r="184" spans="1:1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</row>
    <row r="185" spans="1:1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</row>
    <row r="186" spans="1:1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</row>
    <row r="187" spans="1:1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</row>
    <row r="188" spans="1:1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</row>
    <row r="189" spans="1:1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</row>
    <row r="190" spans="1:1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</row>
    <row r="191" spans="1:1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</row>
    <row r="192" spans="1:1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</row>
    <row r="193" spans="1:1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</row>
    <row r="194" spans="1:1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</row>
    <row r="195" spans="1:1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</row>
    <row r="196" spans="1:1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</row>
    <row r="197" spans="1:1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</row>
    <row r="198" spans="1:1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</row>
    <row r="199" spans="1:1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</row>
    <row r="200" spans="1:1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</row>
  </sheetData>
  <autoFilter ref="A1:P15">
    <extLst/>
  </autoFilter>
  <dataValidations>
    <dataValidation type="list" operator="between" allowBlank="1" showErrorMessage="1" sqref="N2:N15">
      <formula1>"未开始,筹备中,待发布,已发布,已取消"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>
  <sheetPr>
    <outlinePr summaryBelow="0" summaryRight="0"/>
  </sheetPr>
  <dimension ref="T200"/>
  <sheetViews>
    <sheetView showGridLines="0" workbookViewId="0">
      <pane xSplit="2" ySplit="1" topLeftCell="C2" activePane="bottomRight" state="frozen"/>
    </sheetView>
  </sheetViews>
  <sheetFormatPr defaultColWidth="8" defaultRowHeight="14.25"/>
  <cols>
    <col min="1" max="1" width="5" customWidth="1"/>
    <col min="2" max="2" width="24" customWidth="1"/>
    <col min="3" max="3" width="9" customWidth="1"/>
    <col min="4" max="4" width="7" customWidth="1"/>
    <col min="5" max="6" width="14" customWidth="1"/>
    <col min="7" max="7" width="8" customWidth="1"/>
    <col min="8" max="8" width="9" customWidth="1"/>
    <col min="9" max="9" width="28" customWidth="1"/>
    <col min="10" max="10" width="8" customWidth="1"/>
    <col min="11" max="13" width="10" customWidth="1"/>
    <col min="14" max="17" width="11" customWidth="1"/>
    <col min="18" max="18" width="24" customWidth="1"/>
    <col min="19" max="19" width="18" customWidth="1"/>
    <col min="20" max="20" width="14" customWidth="1"/>
  </cols>
  <sheetData>
    <row r="1" spans="1:23" ht="30" customHeight="1">
      <c r="A1" s="4" t="s">
        <v>1</v>
      </c>
      <c r="B1" s="4" t="s">
        <v>341</v>
      </c>
      <c r="C1" s="4" t="s">
        <v>342</v>
      </c>
      <c r="D1" s="4" t="s">
        <v>343</v>
      </c>
      <c r="E1" s="4" t="s">
        <v>344</v>
      </c>
      <c r="F1" s="4" t="s">
        <v>345</v>
      </c>
      <c r="G1" s="4" t="s">
        <v>346</v>
      </c>
      <c r="H1" s="4" t="s">
        <v>347</v>
      </c>
      <c r="I1" s="4" t="s">
        <v>149</v>
      </c>
      <c r="J1" s="4" t="s">
        <v>17</v>
      </c>
      <c r="K1" s="4" t="s">
        <v>12</v>
      </c>
      <c r="L1" s="4" t="s">
        <v>348</v>
      </c>
      <c r="M1" s="4" t="s">
        <v>349</v>
      </c>
      <c r="N1" s="4" t="s">
        <v>350</v>
      </c>
      <c r="O1" s="4" t="s">
        <v>351</v>
      </c>
      <c r="P1" s="4" t="s">
        <v>352</v>
      </c>
      <c r="Q1" s="4" t="s">
        <v>353</v>
      </c>
      <c r="R1" s="4" t="s">
        <v>14</v>
      </c>
      <c r="S1" s="4" t="s">
        <v>354</v>
      </c>
      <c r="T1" s="4" t="s">
        <v>16</v>
      </c>
      <c r="U1" s="4" t="s">
        <v>17</v>
      </c>
      <c r="V1" s="4" t="s">
        <v>18</v>
      </c>
      <c r="W1" s="4" t="s">
        <v>19</v>
      </c>
    </row>
    <row r="2" spans="1:23" ht="57">
      <c r="A2" s="6">
        <v>1</v>
      </c>
      <c r="B2" s="7" t="s">
        <v>200</v>
      </c>
      <c r="C2" s="6" t="s">
        <v>122</v>
      </c>
      <c r="D2" s="6" t="s">
        <v>355</v>
      </c>
      <c r="E2" s="6" t="s">
        <v>203</v>
      </c>
      <c r="F2" s="6" t="s">
        <v>204</v>
      </c>
      <c r="G2" s="6" t="s">
        <v>89</v>
      </c>
      <c r="H2" s="6">
        <v>50</v>
      </c>
      <c r="I2" s="7" t="s">
        <v>202</v>
      </c>
      <c r="J2" s="6" t="s"/>
      <c r="K2" s="8">
        <v>0</v>
      </c>
      <c r="L2" s="6" t="s">
        <f>=IF(K2=0,"未筹备",IF(K2&gt;=1,"已完成",IF(K2&gt;=0.8,"待执行",IF(K2&gt;=0.3,"筹备中","筹备初期"))))</f>
        <v>205</v>
      </c>
      <c r="M2" s="6" t="s"/>
      <c r="N2" s="6" t="s"/>
      <c r="O2" s="6" t="s"/>
      <c r="P2" s="6" t="s"/>
      <c r="Q2" s="6" t="s"/>
      <c r="R2" s="7" t="s"/>
      <c r="S2" s="7" t="s"/>
      <c r="T2" s="7" t="s"/>
      <c r="U2" s="7" t="s"/>
      <c r="V2" s="7" t="s">
        <v>27</v>
      </c>
      <c r="W2" s="7" t="s">
        <v>206</v>
      </c>
    </row>
    <row r="3" spans="1:23" ht="57">
      <c r="A3" s="6">
        <v>2</v>
      </c>
      <c r="B3" s="7" t="s">
        <v>208</v>
      </c>
      <c r="C3" s="6" t="s">
        <v>122</v>
      </c>
      <c r="D3" s="6" t="s">
        <v>355</v>
      </c>
      <c r="E3" s="6" t="s">
        <v>210</v>
      </c>
      <c r="F3" s="6" t="s">
        <v>211</v>
      </c>
      <c r="G3" s="6" t="s">
        <v>92</v>
      </c>
      <c r="H3" s="6">
        <v>40</v>
      </c>
      <c r="I3" s="7" t="s">
        <v>209</v>
      </c>
      <c r="J3" s="6" t="s"/>
      <c r="K3" s="8">
        <v>0</v>
      </c>
      <c r="L3" s="6" t="s">
        <f>=IF(K3=0,"未筹备",IF(K3&gt;=1,"已完成",IF(K3&gt;=0.8,"待执行",IF(K3&gt;=0.3,"筹备中","筹备初期"))))</f>
        <v>205</v>
      </c>
      <c r="M3" s="6" t="s"/>
      <c r="N3" s="6" t="s"/>
      <c r="O3" s="6" t="s"/>
      <c r="P3" s="6" t="s"/>
      <c r="Q3" s="6" t="s"/>
      <c r="R3" s="7" t="s"/>
      <c r="S3" s="7" t="s"/>
      <c r="T3" s="7" t="s"/>
      <c r="U3" s="7" t="s"/>
      <c r="V3" s="7" t="s">
        <v>27</v>
      </c>
      <c r="W3" s="7" t="s">
        <v>206</v>
      </c>
    </row>
    <row r="4" spans="1:23" ht="57">
      <c r="A4" s="6">
        <v>3</v>
      </c>
      <c r="B4" s="7" t="s">
        <v>212</v>
      </c>
      <c r="C4" s="6" t="s">
        <v>122</v>
      </c>
      <c r="D4" s="6" t="s">
        <v>355</v>
      </c>
      <c r="E4" s="6" t="s">
        <v>213</v>
      </c>
      <c r="F4" s="6" t="s">
        <v>214</v>
      </c>
      <c r="G4" s="6" t="s">
        <v>95</v>
      </c>
      <c r="H4" s="6">
        <v>40</v>
      </c>
      <c r="I4" s="7" t="s">
        <v>209</v>
      </c>
      <c r="J4" s="6" t="s"/>
      <c r="K4" s="8">
        <v>0</v>
      </c>
      <c r="L4" s="6" t="s">
        <f>=IF(K4=0,"未筹备",IF(K4&gt;=1,"已完成",IF(K4&gt;=0.8,"待执行",IF(K4&gt;=0.3,"筹备中","筹备初期"))))</f>
        <v>205</v>
      </c>
      <c r="M4" s="6" t="s"/>
      <c r="N4" s="6" t="s"/>
      <c r="O4" s="6" t="s"/>
      <c r="P4" s="6" t="s"/>
      <c r="Q4" s="6" t="s"/>
      <c r="R4" s="7" t="s"/>
      <c r="S4" s="7" t="s"/>
      <c r="T4" s="7" t="s"/>
      <c r="U4" s="7" t="s"/>
      <c r="V4" s="7" t="s">
        <v>27</v>
      </c>
      <c r="W4" s="7" t="s">
        <v>206</v>
      </c>
    </row>
    <row r="5" spans="1:23" ht="57">
      <c r="A5" s="6">
        <v>4</v>
      </c>
      <c r="B5" s="7" t="s">
        <v>215</v>
      </c>
      <c r="C5" s="6" t="s">
        <v>134</v>
      </c>
      <c r="D5" s="6" t="s">
        <v>355</v>
      </c>
      <c r="E5" s="6" t="s">
        <v>217</v>
      </c>
      <c r="F5" s="6" t="s">
        <v>218</v>
      </c>
      <c r="G5" s="6" t="s">
        <v>104</v>
      </c>
      <c r="H5" s="6">
        <v>50</v>
      </c>
      <c r="I5" s="7" t="s">
        <v>216</v>
      </c>
      <c r="J5" s="6" t="s"/>
      <c r="K5" s="8">
        <v>0</v>
      </c>
      <c r="L5" s="6" t="s">
        <f>=IF(K5=0,"未筹备",IF(K5&gt;=1,"已完成",IF(K5&gt;=0.8,"待执行",IF(K5&gt;=0.3,"筹备中","筹备初期"))))</f>
        <v>205</v>
      </c>
      <c r="M5" s="6" t="s"/>
      <c r="N5" s="6" t="s"/>
      <c r="O5" s="6" t="s"/>
      <c r="P5" s="6" t="s"/>
      <c r="Q5" s="6" t="s"/>
      <c r="R5" s="7" t="s"/>
      <c r="S5" s="7" t="s"/>
      <c r="T5" s="7" t="s"/>
      <c r="U5" s="7" t="s"/>
      <c r="V5" s="7" t="s">
        <v>27</v>
      </c>
      <c r="W5" s="7" t="s">
        <v>206</v>
      </c>
    </row>
    <row r="6" spans="1:23" ht="57">
      <c r="A6" s="6">
        <v>5</v>
      </c>
      <c r="B6" s="7" t="s">
        <v>219</v>
      </c>
      <c r="C6" s="6" t="s">
        <v>220</v>
      </c>
      <c r="D6" s="6" t="s">
        <v>355</v>
      </c>
      <c r="E6" s="6" t="s">
        <v>222</v>
      </c>
      <c r="F6" s="6" t="s">
        <v>223</v>
      </c>
      <c r="G6" s="6" t="s">
        <v>71</v>
      </c>
      <c r="H6" s="6">
        <v>30</v>
      </c>
      <c r="I6" s="7" t="s">
        <v>221</v>
      </c>
      <c r="J6" s="6" t="s"/>
      <c r="K6" s="8">
        <v>0</v>
      </c>
      <c r="L6" s="6" t="s">
        <f>=IF(K6=0,"未筹备",IF(K6&gt;=1,"已完成",IF(K6&gt;=0.8,"待执行",IF(K6&gt;=0.3,"筹备中","筹备初期"))))</f>
        <v>205</v>
      </c>
      <c r="M6" s="6" t="s"/>
      <c r="N6" s="6" t="s"/>
      <c r="O6" s="6" t="s"/>
      <c r="P6" s="6" t="s"/>
      <c r="Q6" s="6" t="s"/>
      <c r="R6" s="7" t="s"/>
      <c r="S6" s="7" t="s"/>
      <c r="T6" s="7" t="s"/>
      <c r="U6" s="7" t="s"/>
      <c r="V6" s="7" t="s">
        <v>27</v>
      </c>
      <c r="W6" s="7" t="s">
        <v>206</v>
      </c>
    </row>
    <row r="7" spans="1:23" ht="57">
      <c r="A7" s="6">
        <v>6</v>
      </c>
      <c r="B7" s="7" t="s">
        <v>224</v>
      </c>
      <c r="C7" s="6" t="s">
        <v>122</v>
      </c>
      <c r="D7" s="6" t="s">
        <v>355</v>
      </c>
      <c r="E7" s="6" t="s">
        <v>226</v>
      </c>
      <c r="F7" s="6" t="s">
        <v>227</v>
      </c>
      <c r="G7" s="6" t="s">
        <v>71</v>
      </c>
      <c r="H7" s="6">
        <v>40</v>
      </c>
      <c r="I7" s="7" t="s">
        <v>225</v>
      </c>
      <c r="J7" s="6" t="s"/>
      <c r="K7" s="8">
        <v>0</v>
      </c>
      <c r="L7" s="6" t="s">
        <f>=IF(K7=0,"未筹备",IF(K7&gt;=1,"已完成",IF(K7&gt;=0.8,"待执行",IF(K7&gt;=0.3,"筹备中","筹备初期"))))</f>
        <v>205</v>
      </c>
      <c r="M7" s="6" t="s"/>
      <c r="N7" s="6" t="s"/>
      <c r="O7" s="6" t="s"/>
      <c r="P7" s="6" t="s"/>
      <c r="Q7" s="6" t="s"/>
      <c r="R7" s="7" t="s"/>
      <c r="S7" s="7" t="s"/>
      <c r="T7" s="7" t="s"/>
      <c r="U7" s="7" t="s"/>
      <c r="V7" s="7" t="s">
        <v>27</v>
      </c>
      <c r="W7" s="7" t="s">
        <v>206</v>
      </c>
    </row>
    <row r="8" spans="1:23" ht="57">
      <c r="A8" s="6">
        <v>7</v>
      </c>
      <c r="B8" s="7" t="s">
        <v>228</v>
      </c>
      <c r="C8" s="6" t="s">
        <v>229</v>
      </c>
      <c r="D8" s="6" t="s">
        <v>355</v>
      </c>
      <c r="E8" s="6" t="s">
        <v>231</v>
      </c>
      <c r="F8" s="6" t="s">
        <v>232</v>
      </c>
      <c r="G8" s="6" t="s">
        <v>71</v>
      </c>
      <c r="H8" s="6">
        <v>40</v>
      </c>
      <c r="I8" s="7" t="s">
        <v>230</v>
      </c>
      <c r="J8" s="6" t="s"/>
      <c r="K8" s="8">
        <v>0</v>
      </c>
      <c r="L8" s="6" t="s">
        <f>=IF(K8=0,"未筹备",IF(K8&gt;=1,"已完成",IF(K8&gt;=0.8,"待执行",IF(K8&gt;=0.3,"筹备中","筹备初期"))))</f>
        <v>205</v>
      </c>
      <c r="M8" s="6" t="s"/>
      <c r="N8" s="6" t="s"/>
      <c r="O8" s="6" t="s"/>
      <c r="P8" s="6" t="s"/>
      <c r="Q8" s="6" t="s"/>
      <c r="R8" s="7" t="s"/>
      <c r="S8" s="7" t="s"/>
      <c r="T8" s="7" t="s"/>
      <c r="U8" s="7" t="s"/>
      <c r="V8" s="7" t="s">
        <v>27</v>
      </c>
      <c r="W8" s="7" t="s">
        <v>206</v>
      </c>
    </row>
    <row r="9" spans="1:23" ht="57">
      <c r="A9" s="6">
        <v>8</v>
      </c>
      <c r="B9" s="7" t="s">
        <v>233</v>
      </c>
      <c r="C9" s="6" t="s">
        <v>122</v>
      </c>
      <c r="D9" s="6" t="s">
        <v>356</v>
      </c>
      <c r="E9" s="6" t="s">
        <v>235</v>
      </c>
      <c r="F9" s="6" t="s">
        <v>236</v>
      </c>
      <c r="G9" s="6" t="s">
        <v>89</v>
      </c>
      <c r="H9" s="6">
        <v>50</v>
      </c>
      <c r="I9" s="7" t="s">
        <v>234</v>
      </c>
      <c r="J9" s="6" t="s"/>
      <c r="K9" s="8">
        <v>0</v>
      </c>
      <c r="L9" s="6" t="s">
        <f>=IF(K9=0,"未筹备",IF(K9&gt;=1,"已完成",IF(K9&gt;=0.8,"待执行",IF(K9&gt;=0.3,"筹备中","筹备初期"))))</f>
        <v>205</v>
      </c>
      <c r="M9" s="6" t="s"/>
      <c r="N9" s="6" t="s"/>
      <c r="O9" s="6" t="s"/>
      <c r="P9" s="6" t="s"/>
      <c r="Q9" s="6" t="s"/>
      <c r="R9" s="7" t="s"/>
      <c r="S9" s="7" t="s"/>
      <c r="T9" s="7" t="s"/>
      <c r="U9" s="7" t="s"/>
      <c r="V9" s="7" t="s">
        <v>27</v>
      </c>
      <c r="W9" s="7" t="s">
        <v>206</v>
      </c>
    </row>
    <row r="10" spans="1:23" ht="57">
      <c r="A10" s="6">
        <v>9</v>
      </c>
      <c r="B10" s="7" t="s">
        <v>237</v>
      </c>
      <c r="C10" s="6" t="s">
        <v>122</v>
      </c>
      <c r="D10" s="6" t="s">
        <v>356</v>
      </c>
      <c r="E10" s="6" t="s">
        <v>235</v>
      </c>
      <c r="F10" s="6" t="s">
        <v>238</v>
      </c>
      <c r="G10" s="6" t="s">
        <v>92</v>
      </c>
      <c r="H10" s="6">
        <v>40</v>
      </c>
      <c r="I10" s="7" t="s">
        <v>209</v>
      </c>
      <c r="J10" s="6" t="s"/>
      <c r="K10" s="8">
        <v>0</v>
      </c>
      <c r="L10" s="6" t="s">
        <f>=IF(K10=0,"未筹备",IF(K10&gt;=1,"已完成",IF(K10&gt;=0.8,"待执行",IF(K10&gt;=0.3,"筹备中","筹备初期"))))</f>
        <v>205</v>
      </c>
      <c r="M10" s="6" t="s"/>
      <c r="N10" s="6" t="s"/>
      <c r="O10" s="6" t="s"/>
      <c r="P10" s="6" t="s"/>
      <c r="Q10" s="6" t="s"/>
      <c r="R10" s="7" t="s"/>
      <c r="S10" s="7" t="s"/>
      <c r="T10" s="7" t="s"/>
      <c r="U10" s="7" t="s"/>
      <c r="V10" s="7" t="s">
        <v>27</v>
      </c>
      <c r="W10" s="7" t="s">
        <v>206</v>
      </c>
    </row>
    <row r="11" spans="1:23" ht="57">
      <c r="A11" s="6">
        <v>10</v>
      </c>
      <c r="B11" s="7" t="s">
        <v>239</v>
      </c>
      <c r="C11" s="6" t="s">
        <v>240</v>
      </c>
      <c r="D11" s="6" t="s">
        <v>357</v>
      </c>
      <c r="E11" s="6" t="s">
        <v>242</v>
      </c>
      <c r="F11" s="6" t="s">
        <v>243</v>
      </c>
      <c r="G11" s="6" t="s">
        <v>358</v>
      </c>
      <c r="H11" s="6">
        <v>30</v>
      </c>
      <c r="I11" s="7" t="s">
        <v>241</v>
      </c>
      <c r="J11" s="6" t="s"/>
      <c r="K11" s="8">
        <v>0</v>
      </c>
      <c r="L11" s="6" t="s">
        <f>=IF(K11=0,"未筹备",IF(K11&gt;=1,"已完成",IF(K11&gt;=0.8,"待执行",IF(K11&gt;=0.3,"筹备中","筹备初期"))))</f>
        <v>205</v>
      </c>
      <c r="M11" s="6" t="s"/>
      <c r="N11" s="6" t="s"/>
      <c r="O11" s="6" t="s"/>
      <c r="P11" s="6" t="s"/>
      <c r="Q11" s="6" t="s"/>
      <c r="R11" s="7" t="s"/>
      <c r="S11" s="7" t="s"/>
      <c r="T11" s="7" t="s"/>
      <c r="U11" s="7" t="s"/>
      <c r="V11" s="7" t="s">
        <v>27</v>
      </c>
      <c r="W11" s="7" t="s">
        <v>206</v>
      </c>
    </row>
    <row r="12" spans="1:20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</row>
    <row r="13" spans="1:20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</row>
    <row r="14" spans="1:20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</row>
    <row r="15" spans="1:20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</row>
    <row r="16" spans="1:20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</row>
    <row r="17" spans="1:20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</row>
    <row r="18" spans="1:20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</row>
    <row r="19" spans="1:20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</row>
    <row r="20" spans="1:20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</row>
    <row r="21" spans="1:20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</row>
    <row r="22" spans="1:20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</row>
    <row r="23" spans="1:20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</row>
    <row r="24" spans="1:20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</row>
    <row r="25" spans="1:20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</row>
    <row r="26" spans="1:20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</row>
    <row r="27" spans="1:20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</row>
    <row r="28" spans="1:20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</row>
    <row r="29" spans="1:20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</row>
    <row r="30" spans="1:20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</row>
    <row r="31" spans="1:20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</row>
    <row r="32" spans="1:20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</row>
    <row r="33" spans="1:20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</row>
    <row r="34" spans="1:20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</row>
    <row r="35" spans="1:20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</row>
    <row r="36" spans="1:20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</row>
    <row r="37" spans="1:20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</row>
    <row r="38" spans="1:20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</row>
    <row r="39" spans="1:20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</row>
    <row r="40" spans="1:20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</row>
    <row r="41" spans="1:20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</row>
    <row r="42" spans="1:20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</row>
    <row r="43" spans="1:20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</row>
    <row r="44" spans="1:20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</row>
    <row r="45" spans="1:20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  <row r="46" spans="1:20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</row>
    <row r="47" spans="1:20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</row>
    <row r="48" spans="1:20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</row>
    <row r="49" spans="1:20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</row>
    <row r="50" spans="1:20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</row>
    <row r="51" spans="1:20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</row>
    <row r="52" spans="1:20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</row>
    <row r="53" spans="1:20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</row>
    <row r="54" spans="1:20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</row>
    <row r="55" spans="1:20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</row>
    <row r="56" spans="1:20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</row>
    <row r="57" spans="1:20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</row>
    <row r="58" spans="1:20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</row>
    <row r="59" spans="1:20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</row>
    <row r="60" spans="1:20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</row>
    <row r="61" spans="1:20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</row>
    <row r="62" spans="1:20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</row>
    <row r="63" spans="1:20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</row>
    <row r="64" spans="1:20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</row>
    <row r="65" spans="1:20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</row>
    <row r="66" spans="1:20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</row>
    <row r="67" spans="1:20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</row>
    <row r="68" spans="1:20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</row>
    <row r="69" spans="1:20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</row>
    <row r="70" spans="1:20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</row>
    <row r="71" spans="1:20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</row>
    <row r="72" spans="1:20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</row>
    <row r="73" spans="1:20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</row>
    <row r="74" spans="1:20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</row>
    <row r="75" spans="1:20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</row>
    <row r="76" spans="1:20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</row>
    <row r="77" spans="1:20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</row>
    <row r="78" spans="1:20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</row>
    <row r="79" spans="1:20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</row>
    <row r="80" spans="1:20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</row>
    <row r="81" spans="1:20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</row>
    <row r="82" spans="1:20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</row>
    <row r="83" spans="1:20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</row>
    <row r="84" spans="1:20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</row>
    <row r="85" spans="1:20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</row>
    <row r="86" spans="1:20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</row>
    <row r="87" spans="1:20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</row>
    <row r="88" spans="1:20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</row>
    <row r="89" spans="1:20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</row>
    <row r="90" spans="1:20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</row>
    <row r="91" spans="1:20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</row>
    <row r="92" spans="1:20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</row>
    <row r="93" spans="1:20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</row>
    <row r="94" spans="1:20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</row>
    <row r="95" spans="1:20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</row>
    <row r="96" spans="1:20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</row>
    <row r="97" spans="1:20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</row>
    <row r="98" spans="1:20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</row>
    <row r="99" spans="1:20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</row>
    <row r="100" spans="1:20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</row>
    <row r="101" spans="1:20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</row>
    <row r="102" spans="1:20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</row>
    <row r="103" spans="1:20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</row>
    <row r="104" spans="1:20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</row>
    <row r="105" spans="1:20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</row>
    <row r="106" spans="1:20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</row>
    <row r="107" spans="1:20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</row>
    <row r="108" spans="1:20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</row>
    <row r="109" spans="1:20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</row>
    <row r="110" spans="1:20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</row>
    <row r="111" spans="1:20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</row>
    <row r="112" spans="1:20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</row>
    <row r="113" spans="1:20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</row>
    <row r="114" spans="1:20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</row>
    <row r="115" spans="1:20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</row>
    <row r="116" spans="1:20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</row>
    <row r="117" spans="1:20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</row>
    <row r="118" spans="1:20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</row>
    <row r="119" spans="1:20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</row>
    <row r="120" spans="1:20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</row>
    <row r="121" spans="1:20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</row>
    <row r="122" spans="1:20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</row>
    <row r="123" spans="1:20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</row>
    <row r="124" spans="1:20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</row>
    <row r="125" spans="1:20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</row>
    <row r="126" spans="1:20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</row>
    <row r="127" spans="1:20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</row>
    <row r="128" spans="1:20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</row>
    <row r="129" spans="1:20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</row>
    <row r="130" spans="1:20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</row>
    <row r="131" spans="1:20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</row>
    <row r="132" spans="1:20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</row>
    <row r="133" spans="1:20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</row>
    <row r="134" spans="1:20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</row>
    <row r="135" spans="1:20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</row>
    <row r="136" spans="1:20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</row>
    <row r="137" spans="1:20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</row>
    <row r="138" spans="1:20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</row>
    <row r="139" spans="1:20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</row>
    <row r="140" spans="1:20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</row>
    <row r="141" spans="1:20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</row>
    <row r="142" spans="1:20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</row>
    <row r="143" spans="1:20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</row>
    <row r="144" spans="1:20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</row>
    <row r="145" spans="1:20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</row>
    <row r="146" spans="1:20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</row>
    <row r="147" spans="1:20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</row>
    <row r="148" spans="1:20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</row>
    <row r="149" spans="1:20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</row>
    <row r="150" spans="1:20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</row>
    <row r="151" spans="1:20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</row>
    <row r="152" spans="1:20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</row>
    <row r="153" spans="1:20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</row>
    <row r="154" spans="1:20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</row>
    <row r="155" spans="1:20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</row>
    <row r="156" spans="1:20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</row>
    <row r="157" spans="1:20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</row>
    <row r="158" spans="1:20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</row>
    <row r="159" spans="1:20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</row>
    <row r="160" spans="1:20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</row>
    <row r="161" spans="1:20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</row>
    <row r="162" spans="1:20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</row>
    <row r="163" spans="1:20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</row>
    <row r="164" spans="1:20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</row>
    <row r="165" spans="1:20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</row>
    <row r="166" spans="1:20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</row>
    <row r="167" spans="1:20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</row>
    <row r="168" spans="1:20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</row>
    <row r="169" spans="1:20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</row>
    <row r="170" spans="1:20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</row>
    <row r="171" spans="1:20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</row>
    <row r="172" spans="1:20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</row>
    <row r="173" spans="1:20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</row>
    <row r="174" spans="1:20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</row>
    <row r="175" spans="1:20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</row>
    <row r="176" spans="1:20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</row>
    <row r="177" spans="1:20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</row>
    <row r="178" spans="1:20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</row>
    <row r="179" spans="1:20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</row>
    <row r="180" spans="1:20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</row>
    <row r="181" spans="1:20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</row>
    <row r="182" spans="1:20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</row>
    <row r="183" spans="1:20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</row>
    <row r="184" spans="1:20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</row>
    <row r="185" spans="1:20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</row>
    <row r="186" spans="1:20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</row>
    <row r="187" spans="1:20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</row>
    <row r="188" spans="1:20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</row>
    <row r="189" spans="1:20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</row>
    <row r="190" spans="1:20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</row>
    <row r="191" spans="1:20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</row>
    <row r="192" spans="1:20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</row>
    <row r="193" spans="1:20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</row>
    <row r="194" spans="1:20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</row>
    <row r="195" spans="1:20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</row>
    <row r="196" spans="1:20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</row>
    <row r="197" spans="1:20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</row>
    <row r="198" spans="1:20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</row>
    <row r="199" spans="1:20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</row>
    <row r="200" spans="1:20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</row>
  </sheetData>
  <autoFilter ref="A1:T11">
    <extLst/>
  </autoFilter>
  <dataValidations>
    <dataValidation type="list" operator="between" allowBlank="1" showErrorMessage="1" sqref="L2:L11">
      <formula1>"未筹备,筹备初期,筹备中,待执行,已完成,取消"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>
  <sheetPr>
    <outlinePr summaryBelow="0" summaryRight="0"/>
  </sheetPr>
  <dimension ref="S201"/>
  <sheetViews>
    <sheetView showGridLines="0" workbookViewId="0">
      <pane xSplit="2" ySplit="1" topLeftCell="C2" activePane="bottomRight" state="frozen"/>
    </sheetView>
  </sheetViews>
  <sheetFormatPr defaultColWidth="8" defaultRowHeight="14.25"/>
  <cols>
    <col min="1" max="1" width="5" customWidth="1"/>
    <col min="2" max="2" width="22" customWidth="1"/>
    <col min="3" max="3" width="10" customWidth="1"/>
    <col min="4" max="4" width="7" customWidth="1"/>
    <col min="5" max="5" width="9" customWidth="1"/>
    <col min="6" max="6" width="13" customWidth="1"/>
    <col min="7" max="7" width="11" customWidth="1"/>
    <col min="8" max="8" width="8" customWidth="1"/>
    <col min="9" max="9" width="12" customWidth="1"/>
    <col min="10" max="10" width="14" customWidth="1"/>
    <col min="11" max="12" width="12" customWidth="1"/>
    <col min="13" max="13" width="8" customWidth="1"/>
    <col min="14" max="14" width="14" customWidth="1"/>
    <col min="15" max="15" width="11" customWidth="1"/>
    <col min="16" max="16" width="10" customWidth="1"/>
    <col min="17" max="17" width="9" customWidth="1"/>
    <col min="18" max="18" width="24" customWidth="1"/>
    <col min="19" max="19" width="16" customWidth="1"/>
  </cols>
  <sheetData>
    <row r="1" spans="1:22" ht="30" customHeight="1">
      <c r="A1" s="4" t="s">
        <v>1</v>
      </c>
      <c r="B1" s="4" t="s">
        <v>109</v>
      </c>
      <c r="C1" s="4" t="s">
        <v>110</v>
      </c>
      <c r="D1" s="4" t="s">
        <v>65</v>
      </c>
      <c r="E1" s="4" t="s">
        <v>111</v>
      </c>
      <c r="F1" s="4" t="s">
        <v>6</v>
      </c>
      <c r="G1" s="4" t="s">
        <v>112</v>
      </c>
      <c r="H1" s="4" t="s">
        <v>113</v>
      </c>
      <c r="I1" s="4" t="s">
        <v>9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</v>
      </c>
      <c r="Q1" s="4" t="s">
        <v>13</v>
      </c>
      <c r="R1" s="4" t="s">
        <v>14</v>
      </c>
      <c r="S1" s="4" t="s">
        <v>16</v>
      </c>
      <c r="T1" s="4" t="s">
        <v>17</v>
      </c>
      <c r="U1" s="4" t="s">
        <v>18</v>
      </c>
      <c r="V1" s="4" t="s">
        <v>19</v>
      </c>
    </row>
    <row r="2" spans="1:22" ht="29.25" customHeight="1">
      <c r="A2" s="10">
        <v>1</v>
      </c>
      <c r="B2" s="10">
        <v>1</v>
      </c>
      <c r="C2" s="10" t="s"/>
      <c r="D2" s="10" t="s"/>
      <c r="E2" s="11" t="s"/>
      <c r="F2" s="11" t="s"/>
      <c r="G2" s="10" t="s"/>
      <c r="H2" s="10" t="s"/>
      <c r="I2" s="10" t="s"/>
      <c r="J2" s="10" t="s"/>
      <c r="K2" s="10" t="s"/>
      <c r="L2" s="10" t="s"/>
      <c r="M2" s="10" t="s"/>
      <c r="N2" s="11" t="s"/>
      <c r="O2" s="10" t="s"/>
      <c r="P2" s="12" t="s"/>
      <c r="Q2" s="10" t="s"/>
      <c r="R2" s="11" t="s"/>
      <c r="S2" s="11" t="s"/>
      <c r="T2" s="11" t="s"/>
      <c r="U2" s="11" t="s"/>
      <c r="V2" s="11" t="s"/>
    </row>
    <row r="3" spans="1:22" ht="42.75">
      <c r="A3" s="6">
        <v>2</v>
      </c>
      <c r="B3" s="7" t="s">
        <v>120</v>
      </c>
      <c r="C3" s="6" t="s">
        <v>121</v>
      </c>
      <c r="D3" s="6" t="s">
        <v>89</v>
      </c>
      <c r="E3" s="7" t="s"/>
      <c r="F3" s="7" t="s"/>
      <c r="G3" s="6" t="s">
        <v>122</v>
      </c>
      <c r="H3" s="6" t="s">
        <v>123</v>
      </c>
      <c r="I3" s="6" t="s">
        <v>24</v>
      </c>
      <c r="J3" s="6" t="s">
        <v>49</v>
      </c>
      <c r="K3" s="6" t="s"/>
      <c r="L3" s="6" t="s"/>
      <c r="M3" s="6">
        <v>0</v>
      </c>
      <c r="N3" s="7" t="s"/>
      <c r="O3" s="6" t="s"/>
      <c r="P3" s="8">
        <v>0</v>
      </c>
      <c r="Q3" s="6" t="s">
        <f>=IF(P3=0,"待启动",IF(P3&gt;=1,"已完成",IF(P3&gt;=0.5,"进行中","推进中")))</f>
        <v>26</v>
      </c>
      <c r="R3" s="7" t="s"/>
      <c r="S3" s="7" t="s"/>
      <c r="T3" s="7" t="s"/>
      <c r="U3" s="7" t="s">
        <v>27</v>
      </c>
      <c r="V3" s="7" t="s">
        <v>124</v>
      </c>
    </row>
    <row r="4" spans="1:22" ht="42.75">
      <c r="A4" s="6">
        <v>3</v>
      </c>
      <c r="B4" s="7" t="s">
        <v>125</v>
      </c>
      <c r="C4" s="6" t="s">
        <v>121</v>
      </c>
      <c r="D4" s="6" t="s">
        <v>92</v>
      </c>
      <c r="E4" s="7" t="s"/>
      <c r="F4" s="7" t="s"/>
      <c r="G4" s="6" t="s">
        <v>122</v>
      </c>
      <c r="H4" s="6" t="s">
        <v>123</v>
      </c>
      <c r="I4" s="6" t="s">
        <v>24</v>
      </c>
      <c r="J4" s="6" t="s">
        <v>49</v>
      </c>
      <c r="K4" s="6" t="s"/>
      <c r="L4" s="6" t="s"/>
      <c r="M4" s="6">
        <v>0</v>
      </c>
      <c r="N4" s="7" t="s"/>
      <c r="O4" s="6" t="s"/>
      <c r="P4" s="8">
        <v>0</v>
      </c>
      <c r="Q4" s="6" t="s">
        <f>=IF(P4=0,"待启动",IF(P4&gt;=1,"已完成",IF(P4&gt;=0.5,"进行中","推进中")))</f>
        <v>26</v>
      </c>
      <c r="R4" s="7" t="s"/>
      <c r="S4" s="7" t="s"/>
      <c r="T4" s="7" t="s"/>
      <c r="U4" s="7" t="s">
        <v>27</v>
      </c>
      <c r="V4" s="7" t="s">
        <v>124</v>
      </c>
    </row>
    <row r="5" spans="1:22" ht="42.75">
      <c r="A5" s="6">
        <v>4</v>
      </c>
      <c r="B5" s="7" t="s">
        <v>126</v>
      </c>
      <c r="C5" s="6" t="s">
        <v>121</v>
      </c>
      <c r="D5" s="6" t="s">
        <v>95</v>
      </c>
      <c r="E5" s="7" t="s"/>
      <c r="F5" s="7" t="s"/>
      <c r="G5" s="6" t="s">
        <v>122</v>
      </c>
      <c r="H5" s="6" t="s">
        <v>127</v>
      </c>
      <c r="I5" s="6" t="s">
        <v>24</v>
      </c>
      <c r="J5" s="6" t="s">
        <v>41</v>
      </c>
      <c r="K5" s="6" t="s"/>
      <c r="L5" s="6" t="s"/>
      <c r="M5" s="6">
        <v>0</v>
      </c>
      <c r="N5" s="7" t="s"/>
      <c r="O5" s="6" t="s"/>
      <c r="P5" s="8">
        <v>0</v>
      </c>
      <c r="Q5" s="6" t="s">
        <f>=IF(P5=0,"待启动",IF(P5&gt;=1,"已完成",IF(P5&gt;=0.5,"进行中","推进中")))</f>
        <v>26</v>
      </c>
      <c r="R5" s="7" t="s"/>
      <c r="S5" s="7" t="s"/>
      <c r="T5" s="7" t="s"/>
      <c r="U5" s="7" t="s">
        <v>27</v>
      </c>
      <c r="V5" s="7" t="s">
        <v>124</v>
      </c>
    </row>
    <row r="6" spans="1:22" ht="42.75">
      <c r="A6" s="6">
        <v>5</v>
      </c>
      <c r="B6" s="7" t="s">
        <v>128</v>
      </c>
      <c r="C6" s="6" t="s">
        <v>129</v>
      </c>
      <c r="D6" s="6" t="s">
        <v>89</v>
      </c>
      <c r="E6" s="7" t="s"/>
      <c r="F6" s="7" t="s"/>
      <c r="G6" s="6" t="s">
        <v>130</v>
      </c>
      <c r="H6" s="6" t="s">
        <v>123</v>
      </c>
      <c r="I6" s="6" t="s">
        <v>32</v>
      </c>
      <c r="J6" s="6" t="s">
        <v>41</v>
      </c>
      <c r="K6" s="6" t="s"/>
      <c r="L6" s="6" t="s"/>
      <c r="M6" s="6">
        <v>0</v>
      </c>
      <c r="N6" s="7" t="s"/>
      <c r="O6" s="6" t="s"/>
      <c r="P6" s="8">
        <v>0</v>
      </c>
      <c r="Q6" s="6" t="s">
        <f>=IF(P6=0,"待启动",IF(P6&gt;=1,"已完成",IF(P6&gt;=0.5,"进行中","推进中")))</f>
        <v>26</v>
      </c>
      <c r="R6" s="7" t="s"/>
      <c r="S6" s="7" t="s"/>
      <c r="T6" s="7" t="s"/>
      <c r="U6" s="7" t="s">
        <v>27</v>
      </c>
      <c r="V6" s="7" t="s">
        <v>124</v>
      </c>
    </row>
    <row r="7" spans="1:22" ht="42.75">
      <c r="A7" s="6">
        <v>6</v>
      </c>
      <c r="B7" s="7" t="s">
        <v>131</v>
      </c>
      <c r="C7" s="6" t="s">
        <v>129</v>
      </c>
      <c r="D7" s="6" t="s">
        <v>92</v>
      </c>
      <c r="E7" s="7" t="s"/>
      <c r="F7" s="7" t="s"/>
      <c r="G7" s="6" t="s">
        <v>132</v>
      </c>
      <c r="H7" s="6" t="s">
        <v>127</v>
      </c>
      <c r="I7" s="6" t="s">
        <v>32</v>
      </c>
      <c r="J7" s="6" t="s">
        <v>25</v>
      </c>
      <c r="K7" s="6" t="s"/>
      <c r="L7" s="6" t="s"/>
      <c r="M7" s="6">
        <v>0</v>
      </c>
      <c r="N7" s="7" t="s"/>
      <c r="O7" s="6" t="s"/>
      <c r="P7" s="8">
        <v>0</v>
      </c>
      <c r="Q7" s="6" t="s">
        <f>=IF(P7=0,"待启动",IF(P7&gt;=1,"已完成",IF(P7&gt;=0.5,"进行中","推进中")))</f>
        <v>26</v>
      </c>
      <c r="R7" s="7" t="s"/>
      <c r="S7" s="7" t="s"/>
      <c r="T7" s="7" t="s"/>
      <c r="U7" s="7" t="s">
        <v>27</v>
      </c>
      <c r="V7" s="7" t="s">
        <v>124</v>
      </c>
    </row>
    <row r="8" spans="1:22" ht="42.75">
      <c r="A8" s="6">
        <v>7</v>
      </c>
      <c r="B8" s="7" t="s">
        <v>133</v>
      </c>
      <c r="C8" s="6" t="s">
        <v>121</v>
      </c>
      <c r="D8" s="6" t="s">
        <v>104</v>
      </c>
      <c r="E8" s="7" t="s"/>
      <c r="F8" s="7" t="s"/>
      <c r="G8" s="6" t="s">
        <v>134</v>
      </c>
      <c r="H8" s="6" t="s">
        <v>127</v>
      </c>
      <c r="I8" s="6" t="s">
        <v>36</v>
      </c>
      <c r="J8" s="6" t="s">
        <v>33</v>
      </c>
      <c r="K8" s="6" t="s"/>
      <c r="L8" s="6" t="s"/>
      <c r="M8" s="6">
        <v>0</v>
      </c>
      <c r="N8" s="7" t="s"/>
      <c r="O8" s="6" t="s"/>
      <c r="P8" s="8">
        <v>0</v>
      </c>
      <c r="Q8" s="6" t="s">
        <f>=IF(P8=0,"待启动",IF(P8&gt;=1,"已完成",IF(P8&gt;=0.5,"进行中","推进中")))</f>
        <v>26</v>
      </c>
      <c r="R8" s="7" t="s"/>
      <c r="S8" s="7" t="s"/>
      <c r="T8" s="7" t="s"/>
      <c r="U8" s="7" t="s">
        <v>27</v>
      </c>
      <c r="V8" s="7" t="s">
        <v>124</v>
      </c>
    </row>
    <row r="9" spans="1:22" ht="42.75">
      <c r="A9" s="6">
        <v>8</v>
      </c>
      <c r="B9" s="7" t="s">
        <v>135</v>
      </c>
      <c r="C9" s="6" t="s">
        <v>136</v>
      </c>
      <c r="D9" s="6" t="s">
        <v>89</v>
      </c>
      <c r="E9" s="7" t="s"/>
      <c r="F9" s="7" t="s"/>
      <c r="G9" s="6" t="s">
        <v>137</v>
      </c>
      <c r="H9" s="6" t="s">
        <v>123</v>
      </c>
      <c r="I9" s="6" t="s">
        <v>32</v>
      </c>
      <c r="J9" s="6" t="s">
        <v>33</v>
      </c>
      <c r="K9" s="6" t="s"/>
      <c r="L9" s="6" t="s"/>
      <c r="M9" s="6">
        <v>0</v>
      </c>
      <c r="N9" s="7" t="s"/>
      <c r="O9" s="6" t="s"/>
      <c r="P9" s="8">
        <v>0</v>
      </c>
      <c r="Q9" s="6" t="s">
        <f>=IF(P9=0,"待启动",IF(P9&gt;=1,"已完成",IF(P9&gt;=0.5,"进行中","推进中")))</f>
        <v>26</v>
      </c>
      <c r="R9" s="7" t="s">
        <v>138</v>
      </c>
      <c r="S9" s="7" t="s"/>
      <c r="T9" s="7" t="s"/>
      <c r="U9" s="7" t="s">
        <v>27</v>
      </c>
      <c r="V9" s="7" t="s">
        <v>124</v>
      </c>
    </row>
    <row r="10" spans="1:22" ht="42.75">
      <c r="A10" s="6">
        <v>9</v>
      </c>
      <c r="B10" s="7" t="s">
        <v>139</v>
      </c>
      <c r="C10" s="6" t="s">
        <v>59</v>
      </c>
      <c r="D10" s="6" t="s">
        <v>89</v>
      </c>
      <c r="E10" s="7" t="s"/>
      <c r="F10" s="7" t="s"/>
      <c r="G10" s="6" t="s">
        <v>20</v>
      </c>
      <c r="H10" s="6" t="s">
        <v>123</v>
      </c>
      <c r="I10" s="6" t="s">
        <v>32</v>
      </c>
      <c r="J10" s="6" t="s">
        <v>37</v>
      </c>
      <c r="K10" s="6" t="s"/>
      <c r="L10" s="6" t="s"/>
      <c r="M10" s="6">
        <v>0</v>
      </c>
      <c r="N10" s="7" t="s"/>
      <c r="O10" s="6" t="s"/>
      <c r="P10" s="8">
        <v>0</v>
      </c>
      <c r="Q10" s="6" t="s">
        <f>=IF(P10=0,"待启动",IF(P10&gt;=1,"已完成",IF(P10&gt;=0.5,"进行中","推进中")))</f>
        <v>26</v>
      </c>
      <c r="R10" s="7" t="s">
        <v>140</v>
      </c>
      <c r="S10" s="7" t="s"/>
      <c r="T10" s="7" t="s"/>
      <c r="U10" s="7" t="s">
        <v>27</v>
      </c>
      <c r="V10" s="7" t="s">
        <v>124</v>
      </c>
    </row>
    <row r="11" spans="1:22" ht="42.75">
      <c r="A11" s="6">
        <v>10</v>
      </c>
      <c r="B11" s="7" t="s">
        <v>141</v>
      </c>
      <c r="C11" s="6" t="s">
        <v>142</v>
      </c>
      <c r="D11" s="6" t="s">
        <v>89</v>
      </c>
      <c r="E11" s="7" t="s"/>
      <c r="F11" s="7" t="s"/>
      <c r="G11" s="6" t="s">
        <v>143</v>
      </c>
      <c r="H11" s="6" t="s">
        <v>123</v>
      </c>
      <c r="I11" s="6" t="s">
        <v>24</v>
      </c>
      <c r="J11" s="6" t="s">
        <v>50</v>
      </c>
      <c r="K11" s="6" t="s"/>
      <c r="L11" s="6" t="s"/>
      <c r="M11" s="6">
        <v>0</v>
      </c>
      <c r="N11" s="7" t="s"/>
      <c r="O11" s="6" t="s"/>
      <c r="P11" s="8">
        <v>0</v>
      </c>
      <c r="Q11" s="6" t="s">
        <f>=IF(P11=0,"待启动",IF(P11&gt;=1,"已完成",IF(P11&gt;=0.5,"进行中","推进中")))</f>
        <v>26</v>
      </c>
      <c r="R11" s="7" t="s">
        <v>144</v>
      </c>
      <c r="S11" s="7" t="s"/>
      <c r="T11" s="7" t="s"/>
      <c r="U11" s="7" t="s">
        <v>27</v>
      </c>
      <c r="V11" s="7" t="s">
        <v>124</v>
      </c>
    </row>
    <row r="12" spans="1:19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</row>
    <row r="13" spans="1:19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</row>
    <row r="14" spans="1:19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</row>
    <row r="15" spans="1:19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</row>
    <row r="16" spans="1:19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</row>
    <row r="17" spans="1:19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</row>
    <row r="18" spans="1:19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</row>
    <row r="19" spans="1:19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</row>
    <row r="20" spans="1:19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</row>
    <row r="21" spans="1:19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</row>
    <row r="22" spans="1:19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</row>
    <row r="23" spans="1:19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</row>
    <row r="24" spans="1:19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</row>
    <row r="25" spans="1:19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</row>
    <row r="26" spans="1:19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</row>
    <row r="27" spans="1:19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</row>
    <row r="28" spans="1:19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</row>
    <row r="29" spans="1:19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</row>
    <row r="30" spans="1:19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</row>
    <row r="31" spans="1:19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</row>
    <row r="32" spans="1:19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</row>
    <row r="33" spans="1:19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</row>
    <row r="34" spans="1:19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</row>
    <row r="35" spans="1:19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</row>
    <row r="36" spans="1:19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</row>
    <row r="37" spans="1:19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</row>
    <row r="38" spans="1:19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</row>
    <row r="39" spans="1:19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</row>
    <row r="40" spans="1:19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</row>
    <row r="41" spans="1:19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</row>
    <row r="42" spans="1:19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</row>
    <row r="43" spans="1:19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</row>
    <row r="44" spans="1:19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</row>
    <row r="45" spans="1:19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</row>
    <row r="46" spans="1:19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</row>
    <row r="47" spans="1:19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</row>
    <row r="48" spans="1:19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</row>
    <row r="49" spans="1:19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</row>
    <row r="50" spans="1:19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</row>
    <row r="51" spans="1:19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</row>
    <row r="52" spans="1:19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</row>
    <row r="53" spans="1:19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</row>
    <row r="54" spans="1:19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</row>
    <row r="55" spans="1:19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</row>
    <row r="56" spans="1:19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</row>
    <row r="57" spans="1:19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</row>
    <row r="58" spans="1:19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</row>
    <row r="59" spans="1:19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</row>
    <row r="60" spans="1:19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</row>
    <row r="61" spans="1:19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</row>
    <row r="62" spans="1:19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</row>
    <row r="63" spans="1:19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</row>
    <row r="64" spans="1:19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</row>
    <row r="65" spans="1:19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</row>
    <row r="66" spans="1:19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</row>
    <row r="67" spans="1:19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</row>
    <row r="68" spans="1:19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</row>
    <row r="69" spans="1:19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</row>
    <row r="70" spans="1:19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</row>
    <row r="71" spans="1:19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</row>
    <row r="72" spans="1:19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</row>
    <row r="73" spans="1:19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</row>
    <row r="74" spans="1:19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</row>
    <row r="75" spans="1:19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</row>
    <row r="76" spans="1:19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</row>
    <row r="77" spans="1:19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</row>
    <row r="78" spans="1:19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</row>
    <row r="79" spans="1:19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</row>
    <row r="80" spans="1:19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</row>
    <row r="81" spans="1:19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</row>
    <row r="82" spans="1:19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</row>
    <row r="83" spans="1:19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</row>
    <row r="84" spans="1:19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</row>
    <row r="85" spans="1:19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</row>
    <row r="86" spans="1:19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</row>
    <row r="87" spans="1:19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</row>
    <row r="88" spans="1:19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</row>
    <row r="89" spans="1:19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</row>
    <row r="90" spans="1:19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</row>
    <row r="91" spans="1:19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</row>
    <row r="92" spans="1:19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</row>
    <row r="93" spans="1:19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</row>
    <row r="94" spans="1:19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</row>
    <row r="95" spans="1:19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</row>
    <row r="96" spans="1:19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</row>
    <row r="97" spans="1:19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</row>
    <row r="98" spans="1:19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</row>
    <row r="99" spans="1:19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</row>
    <row r="100" spans="1:19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</row>
    <row r="101" spans="1:19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</row>
    <row r="102" spans="1:19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</row>
    <row r="103" spans="1:19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</row>
    <row r="104" spans="1:19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</row>
    <row r="105" spans="1:19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</row>
    <row r="106" spans="1:19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</row>
    <row r="107" spans="1:19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</row>
    <row r="108" spans="1:19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</row>
    <row r="109" spans="1:19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</row>
    <row r="110" spans="1:19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</row>
    <row r="111" spans="1:19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</row>
    <row r="112" spans="1:19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</row>
    <row r="113" spans="1:19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</row>
    <row r="114" spans="1:19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</row>
    <row r="115" spans="1:19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</row>
    <row r="116" spans="1:19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</row>
    <row r="117" spans="1:19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</row>
    <row r="118" spans="1:19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</row>
    <row r="119" spans="1:19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</row>
    <row r="120" spans="1:19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</row>
    <row r="121" spans="1:19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</row>
    <row r="122" spans="1:19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</row>
    <row r="123" spans="1:19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</row>
    <row r="124" spans="1:19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</row>
    <row r="125" spans="1:19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</row>
    <row r="126" spans="1:19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</row>
    <row r="127" spans="1:19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</row>
    <row r="128" spans="1:19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</row>
    <row r="129" spans="1:19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</row>
    <row r="130" spans="1:19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</row>
    <row r="131" spans="1:19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</row>
    <row r="132" spans="1:19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</row>
    <row r="133" spans="1:19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</row>
    <row r="134" spans="1:19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</row>
    <row r="135" spans="1:19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</row>
    <row r="136" spans="1:19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</row>
    <row r="137" spans="1:19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</row>
    <row r="138" spans="1:19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</row>
    <row r="139" spans="1:19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</row>
    <row r="140" spans="1:19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</row>
    <row r="141" spans="1:19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</row>
    <row r="142" spans="1:19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</row>
    <row r="143" spans="1:19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</row>
    <row r="144" spans="1:19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</row>
    <row r="145" spans="1:19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</row>
    <row r="146" spans="1:19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</row>
    <row r="147" spans="1:19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</row>
    <row r="148" spans="1:19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</row>
    <row r="149" spans="1:19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</row>
    <row r="150" spans="1:19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</row>
    <row r="151" spans="1:19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</row>
    <row r="152" spans="1:19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</row>
    <row r="153" spans="1:19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</row>
    <row r="154" spans="1:19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</row>
    <row r="155" spans="1:19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</row>
    <row r="156" spans="1:19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</row>
    <row r="157" spans="1:19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</row>
    <row r="158" spans="1:19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</row>
    <row r="159" spans="1:19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</row>
    <row r="160" spans="1:19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</row>
    <row r="161" spans="1:19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</row>
    <row r="162" spans="1:19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</row>
    <row r="163" spans="1:19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</row>
    <row r="164" spans="1:19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</row>
    <row r="165" spans="1:19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</row>
    <row r="166" spans="1:19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</row>
    <row r="167" spans="1:19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</row>
    <row r="168" spans="1:19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</row>
    <row r="169" spans="1:19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</row>
    <row r="170" spans="1:19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</row>
    <row r="171" spans="1:19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</row>
    <row r="172" spans="1:19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</row>
    <row r="173" spans="1:19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</row>
    <row r="174" spans="1:19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</row>
    <row r="175" spans="1:19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</row>
    <row r="176" spans="1:19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</row>
    <row r="177" spans="1:19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</row>
    <row r="178" spans="1:19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</row>
    <row r="179" spans="1:19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</row>
    <row r="180" spans="1:19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</row>
    <row r="181" spans="1:19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</row>
    <row r="182" spans="1:19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</row>
    <row r="183" spans="1:19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</row>
    <row r="184" spans="1:19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</row>
    <row r="185" spans="1:19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</row>
    <row r="186" spans="1:19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</row>
    <row r="187" spans="1:19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</row>
    <row r="188" spans="1:19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</row>
    <row r="189" spans="1:19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</row>
    <row r="190" spans="1:19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</row>
    <row r="191" spans="1:19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</row>
    <row r="192" spans="1:19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</row>
    <row r="193" spans="1:19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</row>
    <row r="194" spans="1:19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</row>
    <row r="195" spans="1:19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</row>
    <row r="196" spans="1:19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</row>
    <row r="197" spans="1:19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</row>
    <row r="198" spans="1:19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</row>
    <row r="199" spans="1:19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</row>
    <row r="200" spans="1:19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</row>
    <row r="201" spans="1:19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  <c r="P201" s="5" t="s"/>
      <c r="Q201" s="5" t="s"/>
      <c r="R201" s="5" t="s"/>
      <c r="S201" s="5" t="s"/>
    </row>
  </sheetData>
  <autoFilter ref="A1:S11">
    <extLst/>
  </autoFilter>
  <dataValidations>
    <dataValidation type="list" operator="between" allowBlank="1" showErrorMessage="1" sqref="H2:H11">
      <formula1>"高,中,低"</formula1>
    </dataValidation>
    <dataValidation type="list" operator="between" allowBlank="1" showErrorMessage="1" sqref="Q2:Q11">
      <formula1>"未开始,初步接触,需求确认,方案报价,谈判中,已成交,已流失"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>
  <sheetPr>
    <outlinePr summaryBelow="0" summaryRight="0"/>
  </sheetPr>
  <dimension ref="Q200"/>
  <sheetViews>
    <sheetView showGridLines="0" workbookViewId="0">
      <pane xSplit="1" ySplit="1" topLeftCell="B2" activePane="bottomRight" state="frozen"/>
    </sheetView>
  </sheetViews>
  <sheetFormatPr defaultColWidth="8" defaultRowHeight="14.25"/>
  <cols>
    <col min="1" max="1" width="5" customWidth="1"/>
    <col min="2" max="2" width="28" customWidth="1"/>
    <col min="3" max="3" width="18" customWidth="1"/>
    <col min="4" max="4" width="10" customWidth="1"/>
    <col min="5" max="5" width="28" customWidth="1"/>
    <col min="6" max="6" width="12" customWidth="1"/>
    <col min="7" max="7" width="14" customWidth="1"/>
    <col min="8" max="9" width="12" customWidth="1"/>
    <col min="10" max="10" width="10" customWidth="1"/>
    <col min="11" max="12" width="12" customWidth="1"/>
    <col min="13" max="13" width="10" customWidth="1"/>
    <col min="14" max="14" width="9" customWidth="1"/>
    <col min="15" max="15" width="24" customWidth="1"/>
    <col min="16" max="16" width="28.7417" customWidth="1"/>
    <col min="17" max="17" width="18" customWidth="1"/>
  </cols>
  <sheetData>
    <row r="1" spans="1:20" ht="29.25" customHeight="1">
      <c r="A1" s="4" t="s">
        <v>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9</v>
      </c>
      <c r="G1" s="4" t="s">
        <v>276</v>
      </c>
      <c r="H1" s="4" t="s">
        <v>277</v>
      </c>
      <c r="I1" s="4" t="s">
        <v>278</v>
      </c>
      <c r="J1" s="4" t="s">
        <v>279</v>
      </c>
      <c r="K1" s="4" t="s">
        <v>280</v>
      </c>
      <c r="L1" s="4" t="s">
        <v>281</v>
      </c>
      <c r="M1" s="4" t="s">
        <v>12</v>
      </c>
      <c r="N1" s="4" t="s">
        <v>13</v>
      </c>
      <c r="O1" s="4" t="s">
        <v>14</v>
      </c>
      <c r="P1" s="4" t="s">
        <v>17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57">
      <c r="A2" s="6">
        <v>1</v>
      </c>
      <c r="B2" s="7" t="s">
        <v>252</v>
      </c>
      <c r="C2" s="6" t="s">
        <v>282</v>
      </c>
      <c r="D2" s="6" t="s">
        <v>253</v>
      </c>
      <c r="E2" s="7" t="s">
        <v>283</v>
      </c>
      <c r="F2" s="6" t="s">
        <v>32</v>
      </c>
      <c r="G2" s="6" t="s">
        <v>49</v>
      </c>
      <c r="H2" s="8">
        <v>0</v>
      </c>
      <c r="I2" s="6" t="s"/>
      <c r="J2" s="6" t="s">
        <v>284</v>
      </c>
      <c r="K2" s="6" t="s"/>
      <c r="L2" s="6" t="s"/>
      <c r="M2" s="8">
        <v>0</v>
      </c>
      <c r="N2" s="6" t="s">
        <f>=IF(M2=0,"待启动",IF(M2&gt;=1,"已完成",IF(M2&gt;=0.5,"进行中","推进中")))</f>
        <v>26</v>
      </c>
      <c r="O2" s="7" t="s"/>
      <c r="P2" s="6" t="s">
        <v>285</v>
      </c>
      <c r="Q2" s="7" t="s"/>
      <c r="R2" s="7" t="s"/>
      <c r="S2" s="7" t="s">
        <v>27</v>
      </c>
      <c r="T2" s="7" t="s">
        <v>255</v>
      </c>
    </row>
    <row r="3" spans="1:20" ht="57">
      <c r="A3" s="6">
        <v>2</v>
      </c>
      <c r="B3" s="7" t="s">
        <v>257</v>
      </c>
      <c r="C3" s="6" t="s">
        <v>286</v>
      </c>
      <c r="D3" s="6" t="s">
        <v>258</v>
      </c>
      <c r="E3" s="7" t="s">
        <v>287</v>
      </c>
      <c r="F3" s="6" t="s">
        <v>79</v>
      </c>
      <c r="G3" s="6" t="s">
        <v>33</v>
      </c>
      <c r="H3" s="8">
        <v>0</v>
      </c>
      <c r="I3" s="6" t="s"/>
      <c r="J3" s="6" t="s">
        <v>284</v>
      </c>
      <c r="K3" s="6" t="s"/>
      <c r="L3" s="6" t="s"/>
      <c r="M3" s="8">
        <v>0</v>
      </c>
      <c r="N3" s="6" t="s">
        <f>=IF(M3=0,"待启动",IF(M3&gt;=1,"已完成",IF(M3&gt;=0.5,"进行中","推进中")))</f>
        <v>26</v>
      </c>
      <c r="O3" s="7" t="s"/>
      <c r="P3" s="6" t="s">
        <v>288</v>
      </c>
      <c r="Q3" s="7" t="s"/>
      <c r="R3" s="7" t="s"/>
      <c r="S3" s="7" t="s">
        <v>27</v>
      </c>
      <c r="T3" s="7" t="s">
        <v>255</v>
      </c>
    </row>
    <row r="4" spans="1:20" ht="57">
      <c r="A4" s="6">
        <v>3</v>
      </c>
      <c r="B4" s="7" t="s">
        <v>259</v>
      </c>
      <c r="C4" s="6" t="s">
        <v>289</v>
      </c>
      <c r="D4" s="6" t="s">
        <v>260</v>
      </c>
      <c r="E4" s="7" t="s">
        <v>290</v>
      </c>
      <c r="F4" s="6" t="s">
        <v>41</v>
      </c>
      <c r="G4" s="6" t="s">
        <v>37</v>
      </c>
      <c r="H4" s="8">
        <v>0</v>
      </c>
      <c r="I4" s="6" t="s"/>
      <c r="J4" s="6" t="s">
        <v>284</v>
      </c>
      <c r="K4" s="6" t="s"/>
      <c r="L4" s="6" t="s"/>
      <c r="M4" s="8">
        <v>0</v>
      </c>
      <c r="N4" s="6" t="s">
        <f>=IF(M4=0,"待启动",IF(M4&gt;=1,"已完成",IF(M4&gt;=0.5,"进行中","推进中")))</f>
        <v>26</v>
      </c>
      <c r="O4" s="7" t="s"/>
      <c r="P4" s="6" t="s">
        <v>291</v>
      </c>
      <c r="Q4" s="7" t="s"/>
      <c r="R4" s="7" t="s"/>
      <c r="S4" s="7" t="s">
        <v>27</v>
      </c>
      <c r="T4" s="7" t="s">
        <v>255</v>
      </c>
    </row>
    <row r="5" spans="1:20" ht="57">
      <c r="A5" s="6">
        <v>4</v>
      </c>
      <c r="B5" s="7" t="s">
        <v>261</v>
      </c>
      <c r="C5" s="6" t="s">
        <v>292</v>
      </c>
      <c r="D5" s="6" t="s">
        <v>262</v>
      </c>
      <c r="E5" s="7" t="s">
        <v>293</v>
      </c>
      <c r="F5" s="6" t="s">
        <v>32</v>
      </c>
      <c r="G5" s="6" t="s">
        <v>25</v>
      </c>
      <c r="H5" s="8">
        <v>0</v>
      </c>
      <c r="I5" s="6" t="s"/>
      <c r="J5" s="6" t="s">
        <v>284</v>
      </c>
      <c r="K5" s="6" t="s"/>
      <c r="L5" s="6" t="s"/>
      <c r="M5" s="8">
        <v>0</v>
      </c>
      <c r="N5" s="6" t="s">
        <f>=IF(M5=0,"待启动",IF(M5&gt;=1,"已完成",IF(M5&gt;=0.5,"进行中","推进中")))</f>
        <v>26</v>
      </c>
      <c r="O5" s="7" t="s"/>
      <c r="P5" s="6" t="s">
        <v>294</v>
      </c>
      <c r="Q5" s="7" t="s"/>
      <c r="R5" s="7" t="s"/>
      <c r="S5" s="7" t="s">
        <v>27</v>
      </c>
      <c r="T5" s="7" t="s">
        <v>255</v>
      </c>
    </row>
    <row r="6" spans="1:20" ht="57">
      <c r="A6" s="6">
        <v>5</v>
      </c>
      <c r="B6" s="7" t="s">
        <v>263</v>
      </c>
      <c r="C6" s="6" t="s">
        <v>295</v>
      </c>
      <c r="D6" s="6" t="s">
        <v>264</v>
      </c>
      <c r="E6" s="7" t="s">
        <v>296</v>
      </c>
      <c r="F6" s="6" t="s">
        <v>36</v>
      </c>
      <c r="G6" s="6" t="s">
        <v>33</v>
      </c>
      <c r="H6" s="8">
        <v>0</v>
      </c>
      <c r="I6" s="6" t="s"/>
      <c r="J6" s="6" t="s">
        <v>284</v>
      </c>
      <c r="K6" s="6" t="s"/>
      <c r="L6" s="6" t="s"/>
      <c r="M6" s="8">
        <v>0</v>
      </c>
      <c r="N6" s="6" t="s">
        <f>=IF(M6=0,"待启动",IF(M6&gt;=1,"已完成",IF(M6&gt;=0.5,"进行中","推进中")))</f>
        <v>26</v>
      </c>
      <c r="O6" s="7" t="s"/>
      <c r="P6" s="6" t="s">
        <v>297</v>
      </c>
      <c r="Q6" s="7" t="s"/>
      <c r="R6" s="7" t="s"/>
      <c r="S6" s="7" t="s">
        <v>27</v>
      </c>
      <c r="T6" s="7" t="s">
        <v>255</v>
      </c>
    </row>
    <row r="7" spans="1:20" ht="57">
      <c r="A7" s="6">
        <v>6</v>
      </c>
      <c r="B7" s="7" t="s">
        <v>265</v>
      </c>
      <c r="C7" s="6" t="s">
        <v>298</v>
      </c>
      <c r="D7" s="6" t="s">
        <v>266</v>
      </c>
      <c r="E7" s="7" t="s">
        <v>299</v>
      </c>
      <c r="F7" s="6" t="s">
        <v>79</v>
      </c>
      <c r="G7" s="6" t="s">
        <v>37</v>
      </c>
      <c r="H7" s="8">
        <v>0</v>
      </c>
      <c r="I7" s="6" t="s"/>
      <c r="J7" s="6" t="s">
        <v>284</v>
      </c>
      <c r="K7" s="6" t="s"/>
      <c r="L7" s="6" t="s"/>
      <c r="M7" s="8">
        <v>0</v>
      </c>
      <c r="N7" s="6" t="s">
        <f>=IF(M7=0,"待启动",IF(M7&gt;=1,"已完成",IF(M7&gt;=0.5,"进行中","推进中")))</f>
        <v>26</v>
      </c>
      <c r="O7" s="7" t="s"/>
      <c r="P7" s="6" t="s">
        <v>300</v>
      </c>
      <c r="Q7" s="7" t="s"/>
      <c r="R7" s="7" t="s"/>
      <c r="S7" s="7" t="s">
        <v>27</v>
      </c>
      <c r="T7" s="7" t="s">
        <v>255</v>
      </c>
    </row>
    <row r="8" spans="1:20" ht="57">
      <c r="A8" s="6">
        <v>7</v>
      </c>
      <c r="B8" s="7" t="s">
        <v>267</v>
      </c>
      <c r="C8" s="6" t="s">
        <v>87</v>
      </c>
      <c r="D8" s="6" t="s">
        <v>268</v>
      </c>
      <c r="E8" s="7" t="s">
        <v>301</v>
      </c>
      <c r="F8" s="6" t="s">
        <v>24</v>
      </c>
      <c r="G8" s="6" t="s">
        <v>36</v>
      </c>
      <c r="H8" s="8">
        <v>0</v>
      </c>
      <c r="I8" s="6" t="s"/>
      <c r="J8" s="6" t="s">
        <v>284</v>
      </c>
      <c r="K8" s="6" t="s"/>
      <c r="L8" s="6" t="s"/>
      <c r="M8" s="8">
        <v>0</v>
      </c>
      <c r="N8" s="6" t="s">
        <f>=IF(M8=0,"待启动",IF(M8&gt;=1,"已完成",IF(M8&gt;=0.5,"进行中","推进中")))</f>
        <v>26</v>
      </c>
      <c r="O8" s="7" t="s"/>
      <c r="P8" s="6" t="s">
        <v>302</v>
      </c>
      <c r="Q8" s="7" t="s"/>
      <c r="R8" s="7" t="s"/>
      <c r="S8" s="7" t="s">
        <v>27</v>
      </c>
      <c r="T8" s="7" t="s">
        <v>255</v>
      </c>
    </row>
    <row r="9" spans="1:20" ht="57">
      <c r="A9" s="6">
        <v>8</v>
      </c>
      <c r="B9" s="7" t="s">
        <v>269</v>
      </c>
      <c r="C9" s="6" t="s">
        <v>303</v>
      </c>
      <c r="D9" s="6" t="s">
        <v>270</v>
      </c>
      <c r="E9" s="7" t="s">
        <v>304</v>
      </c>
      <c r="F9" s="6" t="s">
        <v>187</v>
      </c>
      <c r="G9" s="6" t="s">
        <v>50</v>
      </c>
      <c r="H9" s="8">
        <v>0</v>
      </c>
      <c r="I9" s="6" t="s"/>
      <c r="J9" s="6" t="s">
        <v>284</v>
      </c>
      <c r="K9" s="6" t="s"/>
      <c r="L9" s="6" t="s"/>
      <c r="M9" s="8">
        <v>0</v>
      </c>
      <c r="N9" s="6" t="s">
        <f>=IF(M9=0,"待启动",IF(M9&gt;=1,"已完成",IF(M9&gt;=0.5,"进行中","推进中")))</f>
        <v>26</v>
      </c>
      <c r="O9" s="7" t="s"/>
      <c r="P9" s="6" t="s">
        <v>305</v>
      </c>
      <c r="Q9" s="7" t="s"/>
      <c r="R9" s="7" t="s"/>
      <c r="S9" s="7" t="s">
        <v>27</v>
      </c>
      <c r="T9" s="7" t="s">
        <v>255</v>
      </c>
    </row>
    <row r="10" spans="1:17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1:17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</row>
    <row r="12" spans="1:17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1:17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</row>
    <row r="14" spans="1:17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</row>
    <row r="15" spans="1:17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</row>
    <row r="16" spans="1:17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</row>
    <row r="17" spans="1:17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</row>
    <row r="18" spans="1:17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</row>
    <row r="19" spans="1:17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</row>
    <row r="20" spans="1:17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</row>
    <row r="21" spans="1:17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</row>
    <row r="22" spans="1:17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</row>
    <row r="23" spans="1:17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</row>
    <row r="24" spans="1:17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</row>
    <row r="25" spans="1:17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</row>
    <row r="26" spans="1:17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</row>
    <row r="27" spans="1:17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</row>
    <row r="28" spans="1:17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</row>
    <row r="29" spans="1:17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</row>
    <row r="30" spans="1:17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</row>
    <row r="31" spans="1:17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</row>
    <row r="32" spans="1:17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</row>
    <row r="33" spans="1:17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</row>
    <row r="34" spans="1:17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</row>
    <row r="35" spans="1:17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</row>
    <row r="36" spans="1:17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</row>
    <row r="37" spans="1:17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</row>
    <row r="38" spans="1:17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</row>
    <row r="39" spans="1:17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</row>
    <row r="40" spans="1:17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</row>
    <row r="41" spans="1:17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</row>
    <row r="42" spans="1:17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</row>
    <row r="43" spans="1:17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</row>
    <row r="44" spans="1:17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</row>
    <row r="45" spans="1:17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</row>
    <row r="46" spans="1:17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</row>
    <row r="47" spans="1:17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</row>
    <row r="48" spans="1:17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</row>
    <row r="49" spans="1:17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</row>
    <row r="50" spans="1:17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</row>
    <row r="51" spans="1:17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</row>
    <row r="52" spans="1:17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</row>
    <row r="53" spans="1:17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</row>
    <row r="54" spans="1:17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</row>
    <row r="55" spans="1:17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</row>
    <row r="56" spans="1:17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</row>
    <row r="57" spans="1:17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</row>
    <row r="58" spans="1:17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</row>
    <row r="59" spans="1:17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</row>
    <row r="60" spans="1:17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</row>
    <row r="61" spans="1:17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</row>
    <row r="62" spans="1:17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</row>
    <row r="63" spans="1:17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</row>
    <row r="64" spans="1:17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</row>
    <row r="65" spans="1:17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</row>
    <row r="66" spans="1:17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</row>
    <row r="67" spans="1:17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</row>
    <row r="68" spans="1:17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</row>
    <row r="69" spans="1:17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</row>
    <row r="70" spans="1:17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</row>
    <row r="71" spans="1:17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</row>
    <row r="72" spans="1:17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</row>
    <row r="73" spans="1:17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</row>
    <row r="74" spans="1:17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</row>
    <row r="75" spans="1:17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</row>
    <row r="76" spans="1:17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</row>
    <row r="77" spans="1:17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</row>
    <row r="78" spans="1:17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</row>
    <row r="79" spans="1:17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</row>
    <row r="80" spans="1:17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</row>
    <row r="81" spans="1:17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</row>
    <row r="82" spans="1:17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</row>
    <row r="83" spans="1:17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</row>
    <row r="84" spans="1:17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</row>
    <row r="85" spans="1:17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</row>
    <row r="86" spans="1:17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</row>
    <row r="87" spans="1:17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</row>
    <row r="88" spans="1:17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</row>
    <row r="89" spans="1:17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</row>
    <row r="90" spans="1:17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</row>
    <row r="91" spans="1:17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</row>
    <row r="92" spans="1:17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</row>
    <row r="93" spans="1:17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</row>
    <row r="94" spans="1:17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</row>
    <row r="95" spans="1:17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</row>
    <row r="96" spans="1:17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</row>
    <row r="97" spans="1:17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</row>
    <row r="98" spans="1:17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</row>
    <row r="99" spans="1:17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</row>
    <row r="100" spans="1:17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</row>
    <row r="101" spans="1:17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</row>
    <row r="102" spans="1:17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</row>
    <row r="103" spans="1:17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</row>
    <row r="104" spans="1:17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</row>
    <row r="105" spans="1:17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</row>
    <row r="106" spans="1:17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</row>
    <row r="107" spans="1:17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</row>
    <row r="108" spans="1:17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</row>
    <row r="109" spans="1:17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</row>
    <row r="110" spans="1:17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</row>
    <row r="111" spans="1:17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</row>
    <row r="112" spans="1:17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</row>
    <row r="113" spans="1:17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</row>
    <row r="114" spans="1:17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</row>
    <row r="115" spans="1:17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</row>
    <row r="116" spans="1:17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</row>
    <row r="117" spans="1:17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</row>
    <row r="118" spans="1:17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</row>
    <row r="119" spans="1:17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</row>
    <row r="120" spans="1:17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</row>
    <row r="121" spans="1:17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</row>
    <row r="122" spans="1:17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</row>
    <row r="123" spans="1:17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</row>
    <row r="124" spans="1:17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</row>
    <row r="125" spans="1:17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</row>
    <row r="126" spans="1:17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</row>
    <row r="127" spans="1:17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</row>
    <row r="128" spans="1:17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</row>
    <row r="129" spans="1:17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</row>
    <row r="130" spans="1:17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</row>
    <row r="131" spans="1:17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</row>
    <row r="132" spans="1:17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</row>
    <row r="133" spans="1:17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</row>
    <row r="134" spans="1:17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</row>
    <row r="135" spans="1:17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</row>
    <row r="136" spans="1:17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</row>
    <row r="137" spans="1:17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</row>
    <row r="138" spans="1:17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</row>
    <row r="139" spans="1:17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</row>
    <row r="140" spans="1:17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</row>
    <row r="141" spans="1:17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</row>
    <row r="142" spans="1:17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</row>
    <row r="143" spans="1:17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</row>
    <row r="144" spans="1:17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</row>
    <row r="145" spans="1:17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</row>
    <row r="146" spans="1:17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</row>
    <row r="147" spans="1:17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</row>
    <row r="148" spans="1:17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</row>
    <row r="149" spans="1:17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</row>
    <row r="150" spans="1:17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</row>
    <row r="151" spans="1:17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</row>
    <row r="152" spans="1:17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</row>
    <row r="153" spans="1:17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</row>
    <row r="154" spans="1:17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</row>
    <row r="155" spans="1:17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</row>
    <row r="156" spans="1:17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</row>
    <row r="157" spans="1:17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</row>
    <row r="158" spans="1:17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</row>
    <row r="159" spans="1:17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</row>
    <row r="160" spans="1:17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</row>
    <row r="161" spans="1:17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</row>
    <row r="162" spans="1:17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</row>
    <row r="163" spans="1:17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</row>
    <row r="164" spans="1:17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</row>
    <row r="165" spans="1:17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</row>
    <row r="166" spans="1:17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</row>
    <row r="167" spans="1:17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</row>
    <row r="168" spans="1:17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</row>
    <row r="169" spans="1:17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</row>
    <row r="170" spans="1:17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</row>
    <row r="171" spans="1:17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</row>
    <row r="172" spans="1:17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</row>
    <row r="173" spans="1:17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</row>
    <row r="174" spans="1:17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</row>
    <row r="175" spans="1:17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</row>
    <row r="176" spans="1:17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</row>
    <row r="177" spans="1:17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</row>
    <row r="178" spans="1:17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</row>
    <row r="179" spans="1:17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</row>
    <row r="180" spans="1:17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</row>
    <row r="181" spans="1:17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</row>
    <row r="182" spans="1:17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</row>
    <row r="183" spans="1:17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</row>
    <row r="184" spans="1:17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</row>
    <row r="185" spans="1:17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</row>
    <row r="186" spans="1:17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</row>
    <row r="187" spans="1:17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</row>
    <row r="188" spans="1:17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</row>
    <row r="189" spans="1:17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</row>
    <row r="190" spans="1:17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</row>
    <row r="191" spans="1:17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</row>
    <row r="192" spans="1:17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</row>
    <row r="193" spans="1:17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</row>
    <row r="194" spans="1:17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</row>
    <row r="195" spans="1:17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</row>
    <row r="196" spans="1:17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</row>
    <row r="197" spans="1:17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</row>
    <row r="198" spans="1:17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</row>
    <row r="199" spans="1:17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</row>
    <row r="200" spans="1:17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</row>
  </sheetData>
  <autoFilter ref="A1:Q9">
    <extLst/>
  </autoFilter>
  <dataValidations>
    <dataValidation type="list" operator="between" allowBlank="1" showErrorMessage="1" sqref="J2:J9">
      <formula1>"待申报,申报中,已受理,评审中,已公示,已立项,未立项"</formula1>
    </dataValidation>
    <dataValidation type="list" operator="between" allowBlank="1" showErrorMessage="1" sqref="N2:N9">
      <formula1>"未开始,材料准备,已提交,审批中,已立项,已拨款,未通过"</formula1>
    </dataValidation>
  </dataValidation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2026-10-26T20:06:45Z</dcterms:created>
  <dcterms:modified xsi:type="dcterms:W3CDTF">2026-10-26T20:06:45Z</dcterms:modified>
</cp:coreProperties>
</file>